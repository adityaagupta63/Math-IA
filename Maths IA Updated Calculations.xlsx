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/Downloads/"/>
    </mc:Choice>
  </mc:AlternateContent>
  <xr:revisionPtr revIDLastSave="0" documentId="13_ncr:1_{9F5BAFFB-390B-3941-B87B-9D0818E3A786}" xr6:coauthVersionLast="47" xr6:coauthVersionMax="47" xr10:uidLastSave="{00000000-0000-0000-0000-000000000000}"/>
  <bookViews>
    <workbookView xWindow="0" yWindow="660" windowWidth="29400" windowHeight="17020" activeTab="4" xr2:uid="{39118106-BDB5-4841-B973-03C84B3483B6}"/>
  </bookViews>
  <sheets>
    <sheet name="CC Calc" sheetId="1" r:id="rId1"/>
    <sheet name="Alpha, Beta and Expected Points" sheetId="2" r:id="rId2"/>
    <sheet name="Model Evaluation (LH Data)" sheetId="7" r:id="rId3"/>
    <sheet name="Driver Calc for AR(1) and RMSE" sheetId="3" r:id="rId4"/>
    <sheet name="Extra Driver Calc for Chi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K7" i="5"/>
  <c r="K6" i="5"/>
  <c r="K5" i="5"/>
  <c r="K4" i="5"/>
  <c r="K3" i="5"/>
  <c r="H10" i="5"/>
  <c r="H9" i="5"/>
  <c r="H8" i="5"/>
  <c r="H7" i="5"/>
  <c r="H6" i="5"/>
  <c r="H5" i="5"/>
  <c r="H4" i="5"/>
  <c r="H3" i="5"/>
  <c r="E9" i="5"/>
  <c r="E8" i="5"/>
  <c r="E7" i="5"/>
  <c r="E6" i="5"/>
  <c r="E5" i="5"/>
  <c r="E4" i="5"/>
  <c r="E3" i="5"/>
  <c r="B10" i="5"/>
  <c r="B9" i="5"/>
  <c r="B8" i="5"/>
  <c r="B7" i="5"/>
  <c r="B6" i="5"/>
  <c r="B5" i="5"/>
  <c r="B4" i="5"/>
  <c r="N22" i="5"/>
  <c r="K22" i="5"/>
  <c r="H22" i="5"/>
  <c r="E22" i="5"/>
  <c r="B22" i="5"/>
  <c r="N21" i="5"/>
  <c r="H21" i="5"/>
  <c r="E21" i="5"/>
  <c r="B21" i="5"/>
  <c r="N20" i="5"/>
  <c r="H20" i="5"/>
  <c r="E20" i="5"/>
  <c r="B20" i="5"/>
  <c r="N19" i="5"/>
  <c r="K19" i="5"/>
  <c r="H19" i="5"/>
  <c r="E19" i="5"/>
  <c r="B19" i="5"/>
  <c r="N18" i="5"/>
  <c r="K18" i="5"/>
  <c r="H18" i="5"/>
  <c r="E18" i="5"/>
  <c r="B18" i="5"/>
  <c r="N17" i="5"/>
  <c r="K17" i="5"/>
  <c r="H17" i="5"/>
  <c r="E17" i="5"/>
  <c r="B17" i="5"/>
  <c r="N16" i="5"/>
  <c r="K16" i="5"/>
  <c r="H16" i="5"/>
  <c r="E16" i="5"/>
  <c r="B16" i="5"/>
  <c r="N15" i="5"/>
  <c r="K15" i="5"/>
  <c r="H15" i="5"/>
  <c r="E15" i="5"/>
  <c r="B15" i="5"/>
  <c r="N10" i="3"/>
  <c r="N9" i="3"/>
  <c r="N8" i="3"/>
  <c r="N7" i="3"/>
  <c r="N6" i="3"/>
  <c r="N5" i="3"/>
  <c r="N4" i="3"/>
  <c r="N3" i="3"/>
  <c r="K10" i="3"/>
  <c r="K7" i="3"/>
  <c r="K6" i="3"/>
  <c r="K5" i="3"/>
  <c r="K4" i="3"/>
  <c r="K3" i="3"/>
  <c r="E10" i="3"/>
  <c r="E9" i="3"/>
  <c r="E8" i="3"/>
  <c r="E7" i="3"/>
  <c r="E6" i="3"/>
  <c r="E5" i="3"/>
  <c r="E4" i="3"/>
  <c r="E3" i="3"/>
  <c r="B10" i="3"/>
  <c r="B9" i="3"/>
  <c r="B8" i="3"/>
  <c r="B7" i="3"/>
  <c r="B6" i="3"/>
  <c r="B5" i="3"/>
  <c r="B4" i="3"/>
  <c r="B3" i="3"/>
  <c r="B20" i="2"/>
  <c r="AR21" i="2"/>
  <c r="AR22" i="2"/>
  <c r="AR23" i="2"/>
  <c r="AR24" i="2"/>
  <c r="AR25" i="2"/>
  <c r="AR26" i="2"/>
  <c r="AR27" i="2"/>
  <c r="AR28" i="2"/>
  <c r="AR29" i="2"/>
  <c r="AR20" i="2"/>
  <c r="AL20" i="2"/>
  <c r="AL21" i="2"/>
  <c r="AL22" i="2"/>
  <c r="AL23" i="2"/>
  <c r="AL24" i="2"/>
  <c r="AL25" i="2"/>
  <c r="AL26" i="2"/>
  <c r="AL27" i="2"/>
  <c r="AL28" i="2"/>
  <c r="AL29" i="2"/>
  <c r="AF20" i="2"/>
  <c r="AF21" i="2"/>
  <c r="AF22" i="2"/>
  <c r="AF23" i="2"/>
  <c r="AF24" i="2"/>
  <c r="AF25" i="2"/>
  <c r="AF26" i="2"/>
  <c r="AF27" i="2"/>
  <c r="AF28" i="2"/>
  <c r="AF29" i="2"/>
  <c r="Z20" i="2"/>
  <c r="Z21" i="2"/>
  <c r="Z22" i="2"/>
  <c r="Z23" i="2"/>
  <c r="Z24" i="2"/>
  <c r="Z25" i="2"/>
  <c r="Z26" i="2"/>
  <c r="Z27" i="2"/>
  <c r="Z28" i="2"/>
  <c r="Z29" i="2"/>
  <c r="T20" i="2"/>
  <c r="T21" i="2"/>
  <c r="T22" i="2"/>
  <c r="T23" i="2"/>
  <c r="T24" i="2"/>
  <c r="T25" i="2"/>
  <c r="T26" i="2"/>
  <c r="T27" i="2"/>
  <c r="T28" i="2"/>
  <c r="T29" i="2"/>
  <c r="N21" i="2"/>
  <c r="N22" i="2"/>
  <c r="N23" i="2"/>
  <c r="N24" i="2"/>
  <c r="N25" i="2"/>
  <c r="N26" i="2"/>
  <c r="N27" i="2"/>
  <c r="N28" i="2"/>
  <c r="N29" i="2"/>
  <c r="N30" i="2"/>
  <c r="N20" i="2"/>
  <c r="H20" i="2"/>
  <c r="H21" i="2"/>
  <c r="H22" i="2"/>
  <c r="H23" i="2"/>
  <c r="H24" i="2"/>
  <c r="H25" i="2"/>
  <c r="H26" i="2"/>
  <c r="H27" i="2"/>
  <c r="H28" i="2"/>
  <c r="H29" i="2"/>
  <c r="B21" i="2"/>
  <c r="B22" i="2"/>
  <c r="B23" i="2"/>
  <c r="B24" i="2"/>
  <c r="B25" i="2"/>
  <c r="B26" i="2"/>
  <c r="B27" i="2"/>
  <c r="B28" i="2"/>
  <c r="B29" i="2"/>
  <c r="B30" i="2"/>
  <c r="AU4" i="2"/>
  <c r="AU5" i="2"/>
  <c r="AU6" i="2"/>
  <c r="AU7" i="2"/>
  <c r="AU8" i="2"/>
  <c r="AU9" i="2"/>
  <c r="AU10" i="2"/>
  <c r="AU11" i="2"/>
  <c r="AU12" i="2"/>
  <c r="AU3" i="2"/>
  <c r="AO4" i="2"/>
  <c r="AO5" i="2"/>
  <c r="AO6" i="2"/>
  <c r="AO7" i="2"/>
  <c r="AO8" i="2"/>
  <c r="AO9" i="2"/>
  <c r="AO10" i="2"/>
  <c r="AO11" i="2"/>
  <c r="AO12" i="2"/>
  <c r="AO3" i="2"/>
  <c r="AI4" i="2"/>
  <c r="AI5" i="2"/>
  <c r="AI6" i="2"/>
  <c r="AI7" i="2"/>
  <c r="AI8" i="2"/>
  <c r="AI9" i="2"/>
  <c r="AI10" i="2"/>
  <c r="AI11" i="2"/>
  <c r="AI12" i="2"/>
  <c r="AI3" i="2"/>
  <c r="AC4" i="2"/>
  <c r="AC5" i="2"/>
  <c r="AC6" i="2"/>
  <c r="AC7" i="2"/>
  <c r="AC8" i="2"/>
  <c r="AC9" i="2"/>
  <c r="AC10" i="2"/>
  <c r="AC11" i="2"/>
  <c r="AC12" i="2"/>
  <c r="AC3" i="2"/>
  <c r="W3" i="2"/>
  <c r="W4" i="2"/>
  <c r="W5" i="2"/>
  <c r="W6" i="2"/>
  <c r="W7" i="2"/>
  <c r="W8" i="2"/>
  <c r="W9" i="2"/>
  <c r="W10" i="2"/>
  <c r="W11" i="2"/>
  <c r="W12" i="2"/>
  <c r="Q3" i="2"/>
  <c r="Q4" i="2"/>
  <c r="Q5" i="2"/>
  <c r="Q6" i="2"/>
  <c r="Q7" i="2"/>
  <c r="Q8" i="2"/>
  <c r="Q9" i="2"/>
  <c r="Q10" i="2"/>
  <c r="Q11" i="2"/>
  <c r="Q12" i="2"/>
  <c r="Q13" i="2"/>
  <c r="K4" i="2"/>
  <c r="K5" i="2"/>
  <c r="K6" i="2"/>
  <c r="K7" i="2"/>
  <c r="K8" i="2"/>
  <c r="K9" i="2"/>
  <c r="K10" i="2"/>
  <c r="K11" i="2"/>
  <c r="K12" i="2"/>
  <c r="K3" i="2"/>
  <c r="E3" i="2"/>
  <c r="E4" i="2"/>
  <c r="E5" i="2"/>
  <c r="E6" i="2"/>
  <c r="E7" i="2"/>
  <c r="E8" i="2"/>
  <c r="E9" i="2"/>
  <c r="E10" i="2"/>
  <c r="E11" i="2"/>
  <c r="E12" i="2"/>
  <c r="E13" i="2"/>
  <c r="BI3" i="1"/>
  <c r="BJ4" i="1" s="1"/>
  <c r="BA3" i="1"/>
  <c r="BB4" i="1" s="1"/>
  <c r="AS3" i="1"/>
  <c r="AT4" i="1" s="1"/>
  <c r="AK3" i="1"/>
  <c r="AL5" i="1" s="1"/>
  <c r="AC3" i="1"/>
  <c r="AD4" i="1" s="1"/>
  <c r="U3" i="1"/>
  <c r="V9" i="1" s="1"/>
  <c r="M3" i="1"/>
  <c r="N10" i="1" s="1"/>
  <c r="D3" i="1"/>
  <c r="E9" i="1" s="1"/>
  <c r="AL11" i="1" l="1"/>
  <c r="AL10" i="1"/>
  <c r="AL4" i="1"/>
  <c r="V7" i="1"/>
  <c r="BJ9" i="1"/>
  <c r="AD7" i="1"/>
  <c r="AL3" i="1"/>
  <c r="V12" i="1"/>
  <c r="AL9" i="1"/>
  <c r="BJ11" i="1"/>
  <c r="V8" i="1"/>
  <c r="AL7" i="1"/>
  <c r="BJ10" i="1"/>
  <c r="BJ8" i="1"/>
  <c r="AT10" i="1"/>
  <c r="V6" i="1"/>
  <c r="AT9" i="1"/>
  <c r="V5" i="1"/>
  <c r="AD11" i="1"/>
  <c r="AT8" i="1"/>
  <c r="BB10" i="1"/>
  <c r="V4" i="1"/>
  <c r="AD10" i="1"/>
  <c r="AD3" i="1"/>
  <c r="AT7" i="1"/>
  <c r="BB9" i="1"/>
  <c r="BB3" i="1"/>
  <c r="BJ6" i="1"/>
  <c r="BJ7" i="1"/>
  <c r="N3" i="1"/>
  <c r="AD9" i="1"/>
  <c r="AL12" i="1"/>
  <c r="BB8" i="1"/>
  <c r="BJ3" i="1"/>
  <c r="BJ5" i="1"/>
  <c r="AT11" i="1"/>
  <c r="AT3" i="1"/>
  <c r="V3" i="1"/>
  <c r="BB11" i="1"/>
  <c r="V13" i="1"/>
  <c r="AD8" i="1"/>
  <c r="BB7" i="1"/>
  <c r="BJ12" i="1"/>
  <c r="BB5" i="1"/>
  <c r="BB6" i="1"/>
  <c r="BB12" i="1"/>
  <c r="AT6" i="1"/>
  <c r="AT5" i="1"/>
  <c r="AT12" i="1"/>
  <c r="AL8" i="1"/>
  <c r="AL6" i="1"/>
  <c r="AD6" i="1"/>
  <c r="AD5" i="1"/>
  <c r="AD12" i="1"/>
  <c r="V11" i="1"/>
  <c r="V10" i="1"/>
  <c r="N9" i="1"/>
  <c r="N8" i="1"/>
  <c r="N7" i="1"/>
  <c r="N5" i="1"/>
  <c r="N12" i="1"/>
  <c r="N4" i="1"/>
  <c r="E3" i="1"/>
  <c r="N11" i="1"/>
  <c r="N6" i="1"/>
  <c r="E13" i="1"/>
  <c r="E5" i="1"/>
  <c r="E12" i="1"/>
  <c r="E4" i="1"/>
  <c r="E11" i="1"/>
  <c r="E10" i="1"/>
  <c r="E8" i="1"/>
  <c r="E7" i="1"/>
  <c r="E6" i="1"/>
  <c r="AL15" i="1" l="1"/>
  <c r="AM3" i="1" s="1"/>
  <c r="AN3" i="1" s="1"/>
  <c r="AT15" i="1"/>
  <c r="AU3" i="1" s="1"/>
  <c r="AV3" i="1" s="1"/>
  <c r="BJ15" i="1"/>
  <c r="AD15" i="1"/>
  <c r="AE3" i="1" s="1"/>
  <c r="AF3" i="1" s="1"/>
  <c r="BB15" i="1"/>
  <c r="BC3" i="1" s="1"/>
  <c r="BD3" i="1" s="1"/>
  <c r="V15" i="1"/>
  <c r="W3" i="1" s="1"/>
  <c r="X3" i="1" s="1"/>
  <c r="N15" i="1"/>
  <c r="O3" i="1" s="1"/>
  <c r="P3" i="1" s="1"/>
  <c r="E15" i="1"/>
  <c r="F3" i="1" s="1"/>
  <c r="G3" i="1" s="1"/>
  <c r="AM4" i="1" l="1"/>
  <c r="AN4" i="1" s="1"/>
  <c r="AM11" i="1"/>
  <c r="AN11" i="1" s="1"/>
  <c r="AM10" i="1"/>
  <c r="AN10" i="1" s="1"/>
  <c r="AM8" i="1"/>
  <c r="AN8" i="1" s="1"/>
  <c r="AM9" i="1"/>
  <c r="AN9" i="1" s="1"/>
  <c r="AM5" i="1"/>
  <c r="AN5" i="1" s="1"/>
  <c r="AM6" i="1"/>
  <c r="AN6" i="1" s="1"/>
  <c r="AM7" i="1"/>
  <c r="AN7" i="1" s="1"/>
  <c r="AM12" i="1"/>
  <c r="AN12" i="1" s="1"/>
  <c r="W6" i="1"/>
  <c r="X6" i="1" s="1"/>
  <c r="W4" i="1"/>
  <c r="X4" i="1" s="1"/>
  <c r="W5" i="1"/>
  <c r="X5" i="1" s="1"/>
  <c r="W13" i="1"/>
  <c r="X13" i="1" s="1"/>
  <c r="W8" i="1"/>
  <c r="X8" i="1" s="1"/>
  <c r="W12" i="1"/>
  <c r="X12" i="1" s="1"/>
  <c r="W11" i="1"/>
  <c r="X11" i="1" s="1"/>
  <c r="W10" i="1"/>
  <c r="X10" i="1" s="1"/>
  <c r="W9" i="1"/>
  <c r="X9" i="1" s="1"/>
  <c r="W7" i="1"/>
  <c r="X7" i="1" s="1"/>
  <c r="BK9" i="1"/>
  <c r="BL9" i="1" s="1"/>
  <c r="BK6" i="1"/>
  <c r="BL6" i="1" s="1"/>
  <c r="BK10" i="1"/>
  <c r="BL10" i="1" s="1"/>
  <c r="BK4" i="1"/>
  <c r="BL4" i="1" s="1"/>
  <c r="BK12" i="1"/>
  <c r="BL12" i="1" s="1"/>
  <c r="BK5" i="1"/>
  <c r="BL5" i="1" s="1"/>
  <c r="BK3" i="1"/>
  <c r="BL3" i="1" s="1"/>
  <c r="BK11" i="1"/>
  <c r="BL11" i="1" s="1"/>
  <c r="BK8" i="1"/>
  <c r="BL8" i="1" s="1"/>
  <c r="BK7" i="1"/>
  <c r="BL7" i="1" s="1"/>
  <c r="BC8" i="1"/>
  <c r="BD8" i="1" s="1"/>
  <c r="BC9" i="1"/>
  <c r="BD9" i="1" s="1"/>
  <c r="BC11" i="1"/>
  <c r="BD11" i="1" s="1"/>
  <c r="BC4" i="1"/>
  <c r="BD4" i="1" s="1"/>
  <c r="BC10" i="1"/>
  <c r="BD10" i="1" s="1"/>
  <c r="BC12" i="1"/>
  <c r="BD12" i="1" s="1"/>
  <c r="BC5" i="1"/>
  <c r="BD5" i="1" s="1"/>
  <c r="BC6" i="1"/>
  <c r="BD6" i="1" s="1"/>
  <c r="BC7" i="1"/>
  <c r="BD7" i="1" s="1"/>
  <c r="AU8" i="1"/>
  <c r="AV8" i="1" s="1"/>
  <c r="AU9" i="1"/>
  <c r="AV9" i="1" s="1"/>
  <c r="AU10" i="1"/>
  <c r="AV10" i="1" s="1"/>
  <c r="AU11" i="1"/>
  <c r="AV11" i="1" s="1"/>
  <c r="AU4" i="1"/>
  <c r="AV4" i="1" s="1"/>
  <c r="AU6" i="1"/>
  <c r="AV6" i="1" s="1"/>
  <c r="AU12" i="1"/>
  <c r="AV12" i="1" s="1"/>
  <c r="AU5" i="1"/>
  <c r="AV5" i="1" s="1"/>
  <c r="AU7" i="1"/>
  <c r="AV7" i="1" s="1"/>
  <c r="AE8" i="1"/>
  <c r="AF8" i="1" s="1"/>
  <c r="AE9" i="1"/>
  <c r="AF9" i="1" s="1"/>
  <c r="AE10" i="1"/>
  <c r="AF10" i="1" s="1"/>
  <c r="AE11" i="1"/>
  <c r="AF11" i="1" s="1"/>
  <c r="AE4" i="1"/>
  <c r="AF4" i="1" s="1"/>
  <c r="AE12" i="1"/>
  <c r="AF12" i="1" s="1"/>
  <c r="AE6" i="1"/>
  <c r="AF6" i="1" s="1"/>
  <c r="AE5" i="1"/>
  <c r="AF5" i="1" s="1"/>
  <c r="AE7" i="1"/>
  <c r="AF7" i="1" s="1"/>
  <c r="F11" i="1"/>
  <c r="G11" i="1" s="1"/>
  <c r="F10" i="1"/>
  <c r="G10" i="1" s="1"/>
  <c r="F7" i="1"/>
  <c r="G7" i="1" s="1"/>
  <c r="F8" i="1"/>
  <c r="G8" i="1" s="1"/>
  <c r="F12" i="1"/>
  <c r="G12" i="1" s="1"/>
  <c r="F6" i="1"/>
  <c r="G6" i="1" s="1"/>
  <c r="F13" i="1"/>
  <c r="G13" i="1" s="1"/>
  <c r="F5" i="1"/>
  <c r="G5" i="1" s="1"/>
  <c r="F4" i="1"/>
  <c r="G4" i="1" s="1"/>
  <c r="F9" i="1"/>
  <c r="G9" i="1" s="1"/>
  <c r="O7" i="1"/>
  <c r="P7" i="1" s="1"/>
  <c r="O4" i="1"/>
  <c r="P4" i="1" s="1"/>
  <c r="O8" i="1"/>
  <c r="P8" i="1" s="1"/>
  <c r="O12" i="1"/>
  <c r="P12" i="1" s="1"/>
  <c r="O9" i="1"/>
  <c r="P9" i="1" s="1"/>
  <c r="O10" i="1"/>
  <c r="P10" i="1" s="1"/>
  <c r="O11" i="1"/>
  <c r="P11" i="1" s="1"/>
  <c r="O5" i="1"/>
  <c r="P5" i="1" s="1"/>
  <c r="O6" i="1"/>
  <c r="P6" i="1" s="1"/>
</calcChain>
</file>

<file path=xl/sharedStrings.xml><?xml version="1.0" encoding="utf-8"?>
<sst xmlns="http://schemas.openxmlformats.org/spreadsheetml/2006/main" count="611" uniqueCount="133">
  <si>
    <t>Position</t>
  </si>
  <si>
    <t>Team</t>
  </si>
  <si>
    <t>Points</t>
  </si>
  <si>
    <t>Mercedes</t>
  </si>
  <si>
    <t>Red Bull</t>
  </si>
  <si>
    <t>Williams</t>
  </si>
  <si>
    <t>Ferrari</t>
  </si>
  <si>
    <t>McLaren</t>
  </si>
  <si>
    <t>Force India</t>
  </si>
  <si>
    <t>Toro Rosso</t>
  </si>
  <si>
    <t>Lotus</t>
  </si>
  <si>
    <t>Marussia</t>
  </si>
  <si>
    <t>Sauber</t>
  </si>
  <si>
    <t>Caterham</t>
  </si>
  <si>
    <t>Haas</t>
  </si>
  <si>
    <t>Renault</t>
  </si>
  <si>
    <t>Manor</t>
  </si>
  <si>
    <t>Racing Point</t>
  </si>
  <si>
    <t>Alfa Romeo</t>
  </si>
  <si>
    <t>AlphaTauri</t>
  </si>
  <si>
    <t>Alpine</t>
  </si>
  <si>
    <t>Aston Martin</t>
  </si>
  <si>
    <t>MAD</t>
  </si>
  <si>
    <t>MEDIAN</t>
  </si>
  <si>
    <t>ABS DEV</t>
  </si>
  <si>
    <t>Z-Score</t>
  </si>
  <si>
    <t>Car Performance Factor</t>
  </si>
  <si>
    <t>Alpha Factor</t>
  </si>
  <si>
    <t>Car Performace Rating In Each Season</t>
  </si>
  <si>
    <t>Marussia/Manor</t>
  </si>
  <si>
    <t>NA</t>
  </si>
  <si>
    <t>Sauber/Alfa Romeo</t>
  </si>
  <si>
    <t>Toro Rosso/AlphaTauri</t>
  </si>
  <si>
    <t>Lotus/Renault/Alpine</t>
  </si>
  <si>
    <t>Force India/ Racing Point/ Aston Martin</t>
  </si>
  <si>
    <t>Season</t>
  </si>
  <si>
    <t>Avg Points per Driver Per Race</t>
  </si>
  <si>
    <t>CPF</t>
  </si>
  <si>
    <t>No of Races</t>
  </si>
  <si>
    <t>y=15.53891x-12.00183</t>
  </si>
  <si>
    <t>y=5.00136x-2.2895</t>
  </si>
  <si>
    <t>y=3.33748x-1.32765</t>
  </si>
  <si>
    <t>y=1.90394x+0.190583</t>
  </si>
  <si>
    <t>y=1.26304x+0.643704</t>
  </si>
  <si>
    <t>y=2.09933x+0.244376</t>
  </si>
  <si>
    <t>y=10.5212x-6.53225</t>
  </si>
  <si>
    <t>y=11.1664x-8.19844</t>
  </si>
  <si>
    <t>Alpha</t>
  </si>
  <si>
    <t>Beta</t>
  </si>
  <si>
    <t>Hamilton</t>
  </si>
  <si>
    <t>Perez</t>
  </si>
  <si>
    <t>Expected Points</t>
  </si>
  <si>
    <t>Vettel</t>
  </si>
  <si>
    <t>Alonso</t>
  </si>
  <si>
    <t>Ricciardo</t>
  </si>
  <si>
    <t>Residual</t>
  </si>
  <si>
    <t>0 (Not Participated)</t>
  </si>
  <si>
    <t>Grosjean</t>
  </si>
  <si>
    <t>Sainz</t>
  </si>
  <si>
    <t>Raikkonnen</t>
  </si>
  <si>
    <t>Ericsson</t>
  </si>
  <si>
    <t>RMSE</t>
  </si>
  <si>
    <t>Long-Run Mean</t>
  </si>
  <si>
    <t>R2</t>
  </si>
  <si>
    <t>Linear</t>
  </si>
  <si>
    <t>Quadratic</t>
  </si>
  <si>
    <t>Cubic</t>
  </si>
  <si>
    <t>Logarithmic</t>
  </si>
  <si>
    <t>AR(1)</t>
  </si>
  <si>
    <t>AR(2)</t>
  </si>
  <si>
    <t>Model</t>
  </si>
  <si>
    <t>y = ax² + bx + c</t>
  </si>
  <si>
    <t>Supporting sums</t>
  </si>
  <si>
    <t>n</t>
  </si>
  <si>
    <t>Σx</t>
  </si>
  <si>
    <t>Σx²</t>
  </si>
  <si>
    <t>Σx³</t>
  </si>
  <si>
    <t>Σx⁴</t>
  </si>
  <si>
    <t>Σy</t>
  </si>
  <si>
    <t>Σxy</t>
  </si>
  <si>
    <t>Σx²y</t>
  </si>
  <si>
    <t>Normal equations</t>
  </si>
  <si>
    <t>Coefficients</t>
  </si>
  <si>
    <t>Value</t>
  </si>
  <si>
    <t>a</t>
  </si>
  <si>
    <t>b</t>
  </si>
  <si>
    <t>c</t>
  </si>
  <si>
    <t>Equation</t>
  </si>
  <si>
    <t>Forecasts</t>
  </si>
  <si>
    <t>Forecast</t>
  </si>
  <si>
    <t>y = ax³ + bx² + cx + d</t>
  </si>
  <si>
    <t>Σx⁵</t>
  </si>
  <si>
    <t>Σx⁶</t>
  </si>
  <si>
    <t>Σx³y</t>
  </si>
  <si>
    <t>Parameter</t>
  </si>
  <si>
    <t>d</t>
  </si>
  <si>
    <t>y = a ln(x+1) + b</t>
  </si>
  <si>
    <t>Σu</t>
  </si>
  <si>
    <t>Σu²</t>
  </si>
  <si>
    <t>Σuy</t>
  </si>
  <si>
    <t>Slope (a)</t>
  </si>
  <si>
    <t>Intercept (b)</t>
  </si>
  <si>
    <t>y = 23.8948ln(x+1) + -18.6131</t>
  </si>
  <si>
    <t>y_t = c + φy_(t-1)</t>
  </si>
  <si>
    <t>Lagged series</t>
  </si>
  <si>
    <t>t</t>
  </si>
  <si>
    <t>y_(t-1)</t>
  </si>
  <si>
    <t>y_t</t>
  </si>
  <si>
    <t>(y_(t-1))²</t>
  </si>
  <si>
    <t>y_(t-1)·y_t</t>
  </si>
  <si>
    <t>Σy_(t-1)</t>
  </si>
  <si>
    <t>Σy_t</t>
  </si>
  <si>
    <t>Σ(y_(t-1))²</t>
  </si>
  <si>
    <t>Σ(y_(t-1)y_t)</t>
  </si>
  <si>
    <t>Slope (φ)</t>
  </si>
  <si>
    <t>Intercept (c)</t>
  </si>
  <si>
    <t>y = ax+b</t>
  </si>
  <si>
    <t>y_t = c + φ₁y_(t-1) + φ₂y_(t-2)</t>
  </si>
  <si>
    <t>y_(t-2)</t>
  </si>
  <si>
    <t>(y_(t-2))²</t>
  </si>
  <si>
    <t>y_(t-2)y_(t-1)</t>
  </si>
  <si>
    <t>y_(t-2)y_t</t>
  </si>
  <si>
    <t>y_(t-1)y_t</t>
  </si>
  <si>
    <t>Σy_(t-2)</t>
  </si>
  <si>
    <t>Σ(y_(t-2))²</t>
  </si>
  <si>
    <t>Σ(y_(t-2)y_(t-1))</t>
  </si>
  <si>
    <t>Σ(y_(t-2)y_t)</t>
  </si>
  <si>
    <t>φ₁</t>
  </si>
  <si>
    <t>φ₂</t>
  </si>
  <si>
    <t>y = -0.5900x³ + 9.6761x² + -31.2619x + 10.9635</t>
  </si>
  <si>
    <t>y = 3.4814x² + -15.0376x + 4.7687</t>
  </si>
  <si>
    <t>y_t = 0.4352y_(t-1) + 11.3444</t>
  </si>
  <si>
    <t>y_t = 13.2807 + 0.4459y_(t-1) + -0.1243y_(t-2)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</si>
</sst>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760E-98E0-0245-BCC9-3C853F1B8FCC}">
  <dimension ref="A1:BL34"/>
  <sheetViews>
    <sheetView topLeftCell="I1" zoomScaleNormal="100" workbookViewId="0">
      <selection activeCell="K25" sqref="K25"/>
    </sheetView>
  </sheetViews>
  <sheetFormatPr baseColWidth="10" defaultRowHeight="16" x14ac:dyDescent="0.2"/>
  <cols>
    <col min="1" max="1" width="33" bestFit="1" customWidth="1"/>
    <col min="2" max="3" width="11.6640625" bestFit="1" customWidth="1"/>
    <col min="4" max="5" width="12.6640625" bestFit="1" customWidth="1"/>
    <col min="6" max="6" width="12.83203125" bestFit="1" customWidth="1"/>
    <col min="7" max="8" width="21.1640625" bestFit="1" customWidth="1"/>
    <col min="9" max="9" width="12.6640625" bestFit="1" customWidth="1"/>
    <col min="13" max="13" width="12.6640625" bestFit="1" customWidth="1"/>
    <col min="16" max="16" width="20.6640625" bestFit="1" customWidth="1"/>
    <col min="40" max="40" width="12.6640625" bestFit="1" customWidth="1"/>
    <col min="56" max="56" width="12.6640625" bestFit="1" customWidth="1"/>
    <col min="64" max="64" width="13.6640625" bestFit="1" customWidth="1"/>
  </cols>
  <sheetData>
    <row r="1" spans="1:64" x14ac:dyDescent="0.2">
      <c r="A1" s="11">
        <v>2014</v>
      </c>
      <c r="B1" s="11"/>
      <c r="C1" s="11"/>
      <c r="D1" s="1"/>
      <c r="E1" s="1"/>
      <c r="F1" s="1"/>
      <c r="G1" s="1"/>
      <c r="H1" s="1"/>
      <c r="I1" s="1"/>
      <c r="K1" s="1">
        <v>2015</v>
      </c>
      <c r="L1" s="1"/>
      <c r="M1" s="1"/>
      <c r="N1" s="1"/>
      <c r="O1" s="1"/>
      <c r="P1" s="1"/>
      <c r="Q1" s="1"/>
      <c r="S1" s="1">
        <v>2016</v>
      </c>
      <c r="T1" s="1"/>
      <c r="U1" s="1"/>
      <c r="V1" s="1"/>
      <c r="W1" s="1"/>
      <c r="X1" s="1"/>
      <c r="Y1" s="1"/>
      <c r="AA1" s="1">
        <v>2017</v>
      </c>
      <c r="AB1" s="1"/>
      <c r="AC1" s="1"/>
      <c r="AD1" s="1"/>
      <c r="AE1" s="1"/>
      <c r="AF1" s="1"/>
      <c r="AG1" s="1"/>
      <c r="AI1" s="1">
        <v>2018</v>
      </c>
      <c r="AJ1" s="1"/>
      <c r="AK1" s="1"/>
      <c r="AL1" s="1"/>
      <c r="AM1" s="1"/>
      <c r="AN1" s="1"/>
      <c r="AO1" s="1"/>
      <c r="AQ1" s="1">
        <v>2019</v>
      </c>
      <c r="AR1" s="1"/>
      <c r="AS1" s="1"/>
      <c r="AT1" s="1"/>
      <c r="AU1" s="1"/>
      <c r="AV1" s="1"/>
      <c r="AW1" s="1"/>
      <c r="AY1" s="1">
        <v>2020</v>
      </c>
      <c r="AZ1" s="1"/>
      <c r="BA1" s="1"/>
      <c r="BB1" s="1"/>
      <c r="BC1" s="1"/>
      <c r="BD1" s="1"/>
      <c r="BE1" s="1"/>
      <c r="BG1" s="1">
        <v>2021</v>
      </c>
      <c r="BH1" s="1"/>
      <c r="BI1" s="1"/>
    </row>
    <row r="2" spans="1:64" x14ac:dyDescent="0.2">
      <c r="A2" t="s">
        <v>0</v>
      </c>
      <c r="B2" t="s">
        <v>1</v>
      </c>
      <c r="C2" t="s">
        <v>2</v>
      </c>
      <c r="D2" t="s">
        <v>23</v>
      </c>
      <c r="E2" t="s">
        <v>24</v>
      </c>
      <c r="F2" t="s">
        <v>25</v>
      </c>
      <c r="G2" t="s">
        <v>26</v>
      </c>
      <c r="J2" t="s">
        <v>0</v>
      </c>
      <c r="K2" t="s">
        <v>1</v>
      </c>
      <c r="L2" t="s">
        <v>2</v>
      </c>
      <c r="M2" t="s">
        <v>23</v>
      </c>
      <c r="N2" t="s">
        <v>24</v>
      </c>
      <c r="O2" t="s">
        <v>25</v>
      </c>
      <c r="P2" t="s">
        <v>26</v>
      </c>
      <c r="R2" t="s">
        <v>0</v>
      </c>
      <c r="S2" t="s">
        <v>1</v>
      </c>
      <c r="T2" t="s">
        <v>2</v>
      </c>
      <c r="U2" t="s">
        <v>23</v>
      </c>
      <c r="V2" t="s">
        <v>24</v>
      </c>
      <c r="W2" t="s">
        <v>25</v>
      </c>
      <c r="X2" t="s">
        <v>26</v>
      </c>
      <c r="Z2" t="s">
        <v>0</v>
      </c>
      <c r="AA2" t="s">
        <v>1</v>
      </c>
      <c r="AB2" t="s">
        <v>2</v>
      </c>
      <c r="AC2" t="s">
        <v>23</v>
      </c>
      <c r="AD2" t="s">
        <v>24</v>
      </c>
      <c r="AE2" t="s">
        <v>25</v>
      </c>
      <c r="AF2" t="s">
        <v>26</v>
      </c>
      <c r="AH2" t="s">
        <v>0</v>
      </c>
      <c r="AI2" t="s">
        <v>1</v>
      </c>
      <c r="AJ2" t="s">
        <v>2</v>
      </c>
      <c r="AK2" t="s">
        <v>23</v>
      </c>
      <c r="AL2" t="s">
        <v>24</v>
      </c>
      <c r="AM2" t="s">
        <v>25</v>
      </c>
      <c r="AN2" t="s">
        <v>26</v>
      </c>
      <c r="AP2" t="s">
        <v>0</v>
      </c>
      <c r="AQ2" t="s">
        <v>1</v>
      </c>
      <c r="AR2" t="s">
        <v>2</v>
      </c>
      <c r="AS2" t="s">
        <v>23</v>
      </c>
      <c r="AT2" t="s">
        <v>24</v>
      </c>
      <c r="AU2" t="s">
        <v>25</v>
      </c>
      <c r="AV2" t="s">
        <v>26</v>
      </c>
      <c r="AX2" t="s">
        <v>0</v>
      </c>
      <c r="AY2" t="s">
        <v>1</v>
      </c>
      <c r="AZ2" t="s">
        <v>2</v>
      </c>
      <c r="BA2" t="s">
        <v>23</v>
      </c>
      <c r="BB2" t="s">
        <v>24</v>
      </c>
      <c r="BC2" t="s">
        <v>25</v>
      </c>
      <c r="BD2" t="s">
        <v>26</v>
      </c>
      <c r="BF2" t="s">
        <v>0</v>
      </c>
      <c r="BG2" t="s">
        <v>1</v>
      </c>
      <c r="BH2" t="s">
        <v>2</v>
      </c>
      <c r="BI2" t="s">
        <v>23</v>
      </c>
      <c r="BJ2" t="s">
        <v>24</v>
      </c>
      <c r="BK2" t="s">
        <v>25</v>
      </c>
      <c r="BL2" t="s">
        <v>26</v>
      </c>
    </row>
    <row r="3" spans="1:64" x14ac:dyDescent="0.2">
      <c r="A3">
        <v>1</v>
      </c>
      <c r="B3" t="s">
        <v>3</v>
      </c>
      <c r="C3">
        <v>701</v>
      </c>
      <c r="D3">
        <f>MEDIAN($C$3:$C$13)</f>
        <v>155</v>
      </c>
      <c r="E3">
        <f>ABS(C3 - $D$3)</f>
        <v>546</v>
      </c>
      <c r="F3">
        <f>IF($E$15=0, 0, (C3 - $D$3) / $E$15)</f>
        <v>3.5686274509803924</v>
      </c>
      <c r="G3" s="2">
        <f>EXP(F3*0.2)</f>
        <v>2.0415830058489735</v>
      </c>
      <c r="J3">
        <v>1</v>
      </c>
      <c r="K3" t="s">
        <v>3</v>
      </c>
      <c r="L3">
        <v>703</v>
      </c>
      <c r="M3">
        <f>MEDIAN($L$3:$L$12)</f>
        <v>107</v>
      </c>
      <c r="N3">
        <f>ABS(L3 - $M$3)</f>
        <v>596</v>
      </c>
      <c r="O3">
        <f>IF($N$15=0, 0, (L3 - $M$3) / $N$15)</f>
        <v>7.45</v>
      </c>
      <c r="P3" s="2">
        <f>EXP(O3*0.2)</f>
        <v>4.4370955190036652</v>
      </c>
      <c r="R3">
        <v>1</v>
      </c>
      <c r="S3" t="s">
        <v>3</v>
      </c>
      <c r="T3">
        <v>765</v>
      </c>
      <c r="U3">
        <f>MEDIAN($T$3:$T$13)</f>
        <v>76</v>
      </c>
      <c r="V3">
        <f>ABS(T3 - $U$3)</f>
        <v>689</v>
      </c>
      <c r="W3">
        <f>IF($V$15=0, 0, (T3 - $U$3) / $V$15)</f>
        <v>9.3108108108108105</v>
      </c>
      <c r="X3" s="2">
        <f>EXP(W3*0.2)</f>
        <v>6.4376409581524472</v>
      </c>
      <c r="Z3">
        <v>1</v>
      </c>
      <c r="AA3" t="s">
        <v>3</v>
      </c>
      <c r="AB3">
        <v>668</v>
      </c>
      <c r="AC3">
        <f>MEDIAN($AB$3:$AB$12)</f>
        <v>70</v>
      </c>
      <c r="AD3">
        <f>ABS(AB3 - $AC$3)</f>
        <v>598</v>
      </c>
      <c r="AE3">
        <f>IF($AD$15=0, 0, (AB3 - $AC$3) / $AD$15)</f>
        <v>11.390476190476191</v>
      </c>
      <c r="AF3" s="2">
        <f>EXP(AE3*0.2)</f>
        <v>9.7580758853492107</v>
      </c>
      <c r="AH3">
        <v>1</v>
      </c>
      <c r="AI3" t="s">
        <v>3</v>
      </c>
      <c r="AJ3">
        <v>655</v>
      </c>
      <c r="AK3">
        <f>MEDIAN($AJ$3:$AJ$12)</f>
        <v>77.5</v>
      </c>
      <c r="AL3">
        <f>ABS(AJ3 - $AK$3)</f>
        <v>577.5</v>
      </c>
      <c r="AM3">
        <f>IF($AL$15=0, 0, (AJ3 - $AK$3) / $AL$15)</f>
        <v>12.97752808988764</v>
      </c>
      <c r="AN3" s="2">
        <f>EXP(AM3*0.2)</f>
        <v>13.403362629519636</v>
      </c>
      <c r="AP3">
        <v>1</v>
      </c>
      <c r="AQ3" t="s">
        <v>3</v>
      </c>
      <c r="AR3">
        <v>739</v>
      </c>
      <c r="AS3">
        <f>MEDIAN($AR$3:$AR$12)</f>
        <v>88</v>
      </c>
      <c r="AT3">
        <f>ABS(AR3 - $AS$3)</f>
        <v>651</v>
      </c>
      <c r="AU3">
        <f>IF($AT$15=0, 0, (AR3 - $AS$3) / $AT$15)</f>
        <v>11.128205128205128</v>
      </c>
      <c r="AV3" s="2">
        <f>EXP(AU3*0.2)</f>
        <v>9.2594164252515174</v>
      </c>
      <c r="AX3">
        <v>1</v>
      </c>
      <c r="AY3" t="s">
        <v>3</v>
      </c>
      <c r="AZ3">
        <v>573</v>
      </c>
      <c r="BA3">
        <f>MEDIAN($AZ$3:$AZ$12)</f>
        <v>156</v>
      </c>
      <c r="BB3">
        <f>ABS(AZ3 - $BA$3)</f>
        <v>417</v>
      </c>
      <c r="BC3">
        <f>IF($BB$15=0, 0, (AZ3 - $BA$3) / $BB$15)</f>
        <v>4.2335025380710656</v>
      </c>
      <c r="BD3" s="2">
        <f>EXP(BC3*0.2)</f>
        <v>2.3319399264155329</v>
      </c>
      <c r="BF3">
        <v>1</v>
      </c>
      <c r="BG3" t="s">
        <v>3</v>
      </c>
      <c r="BH3">
        <v>613.5</v>
      </c>
      <c r="BI3">
        <f>MEDIAN($BH$3:$BH$12)</f>
        <v>148.5</v>
      </c>
      <c r="BJ3">
        <f>ABS(BH3 - $BI$3)</f>
        <v>465</v>
      </c>
      <c r="BK3">
        <f>IF($BJ$15=0, 0, (BH3 - $BI$3) / $BJ$15)</f>
        <v>3.5496183206106871</v>
      </c>
      <c r="BL3" s="2">
        <f>EXP(BK3*0.2)</f>
        <v>2.0338359980645091</v>
      </c>
    </row>
    <row r="4" spans="1:64" x14ac:dyDescent="0.2">
      <c r="A4">
        <v>2</v>
      </c>
      <c r="B4" t="s">
        <v>4</v>
      </c>
      <c r="C4">
        <v>405</v>
      </c>
      <c r="E4">
        <f t="shared" ref="E4:E13" si="0">ABS(C4 - $D$3)</f>
        <v>250</v>
      </c>
      <c r="F4">
        <f t="shared" ref="F4:F13" si="1">IF($E$15=0, 0, (C4 - $D$3) / $E$15)</f>
        <v>1.6339869281045751</v>
      </c>
      <c r="G4" s="2">
        <f t="shared" ref="G4:G13" si="2">EXP(F4*0.2)</f>
        <v>1.3865205197240607</v>
      </c>
      <c r="J4">
        <v>2</v>
      </c>
      <c r="K4" t="s">
        <v>6</v>
      </c>
      <c r="L4">
        <v>428</v>
      </c>
      <c r="N4">
        <f t="shared" ref="N4:N12" si="3">ABS(L4 - $M$3)</f>
        <v>321</v>
      </c>
      <c r="O4">
        <f t="shared" ref="O4:O12" si="4">IF($N$15=0, 0, (L4 - $M$3) / $N$15)</f>
        <v>4.0125000000000002</v>
      </c>
      <c r="P4" s="2">
        <f t="shared" ref="P4:P12" si="5">EXP(O4*0.2)</f>
        <v>2.2311117414284043</v>
      </c>
      <c r="R4">
        <v>2</v>
      </c>
      <c r="S4" t="s">
        <v>4</v>
      </c>
      <c r="T4">
        <v>468</v>
      </c>
      <c r="V4">
        <f t="shared" ref="V4:V13" si="6">ABS(T4 - $U$3)</f>
        <v>392</v>
      </c>
      <c r="W4">
        <f t="shared" ref="W4:W13" si="7">IF($V$15=0, 0, (T4 - $U$3) / $V$15)</f>
        <v>5.2972972972972974</v>
      </c>
      <c r="X4" s="2">
        <f t="shared" ref="X4:X13" si="8">EXP(W4*0.2)</f>
        <v>2.8848112103330719</v>
      </c>
      <c r="Z4">
        <v>2</v>
      </c>
      <c r="AA4" t="s">
        <v>6</v>
      </c>
      <c r="AB4">
        <v>522</v>
      </c>
      <c r="AD4">
        <f t="shared" ref="AD4:AD12" si="9">ABS(AB4 - $AC$3)</f>
        <v>452</v>
      </c>
      <c r="AE4">
        <f t="shared" ref="AE4:AE12" si="10">IF($AD$15=0, 0, (AB4 - $AC$3) / $AD$15)</f>
        <v>8.6095238095238091</v>
      </c>
      <c r="AF4" s="2">
        <f t="shared" ref="AF4:AF12" si="11">EXP(AE4*0.2)</f>
        <v>5.5951757984499775</v>
      </c>
      <c r="AH4">
        <v>2</v>
      </c>
      <c r="AI4" t="s">
        <v>6</v>
      </c>
      <c r="AJ4">
        <v>571</v>
      </c>
      <c r="AL4">
        <f t="shared" ref="AL4:AL12" si="12">ABS(AJ4 - $AK$3)</f>
        <v>493.5</v>
      </c>
      <c r="AM4">
        <f t="shared" ref="AM4:AM12" si="13">IF($AL$15=0, 0, (AJ4 - $AK$3) / $AL$15)</f>
        <v>11.089887640449438</v>
      </c>
      <c r="AN4" s="2">
        <f t="shared" ref="AN4:AN12" si="14">EXP(AM4*0.2)</f>
        <v>9.1887281159495338</v>
      </c>
      <c r="AP4">
        <v>2</v>
      </c>
      <c r="AQ4" t="s">
        <v>6</v>
      </c>
      <c r="AR4">
        <v>504</v>
      </c>
      <c r="AT4">
        <f t="shared" ref="AT4:AT12" si="15">ABS(AR4 - $AS$3)</f>
        <v>416</v>
      </c>
      <c r="AU4">
        <f t="shared" ref="AU4:AU12" si="16">IF($AT$15=0, 0, (AR4 - $AS$3) / $AT$15)</f>
        <v>7.1111111111111107</v>
      </c>
      <c r="AV4" s="2">
        <f t="shared" ref="AV4:AV12" si="17">EXP(AU4*0.2)</f>
        <v>4.1463242639128826</v>
      </c>
      <c r="AX4">
        <v>2</v>
      </c>
      <c r="AY4" t="s">
        <v>4</v>
      </c>
      <c r="AZ4">
        <v>319</v>
      </c>
      <c r="BB4">
        <f t="shared" ref="BB4:BB12" si="18">ABS(AZ4 - $BA$3)</f>
        <v>163</v>
      </c>
      <c r="BC4">
        <f t="shared" ref="BC4:BC12" si="19">IF($BB$15=0, 0, (AZ4 - $BA$3) / $BB$15)</f>
        <v>1.6548223350253808</v>
      </c>
      <c r="BD4" s="2">
        <f t="shared" ref="BD4:BD12" si="20">EXP(BC4*0.2)</f>
        <v>1.392310318473744</v>
      </c>
      <c r="BF4">
        <v>2</v>
      </c>
      <c r="BG4" t="s">
        <v>4</v>
      </c>
      <c r="BH4">
        <v>585.5</v>
      </c>
      <c r="BJ4">
        <f t="shared" ref="BJ4:BJ12" si="21">ABS(BH4 - $BI$3)</f>
        <v>437</v>
      </c>
      <c r="BK4">
        <f t="shared" ref="BK4:BK12" si="22">IF($BJ$15=0, 0, (BH4 - $BI$3) / $BJ$15)</f>
        <v>3.33587786259542</v>
      </c>
      <c r="BL4" s="2">
        <f t="shared" ref="BL4:BL12" si="23">EXP(BK4*0.2)</f>
        <v>1.9487255065670239</v>
      </c>
    </row>
    <row r="5" spans="1:64" x14ac:dyDescent="0.2">
      <c r="A5">
        <v>3</v>
      </c>
      <c r="B5" t="s">
        <v>5</v>
      </c>
      <c r="C5">
        <v>320</v>
      </c>
      <c r="E5">
        <f t="shared" si="0"/>
        <v>165</v>
      </c>
      <c r="F5">
        <f t="shared" si="1"/>
        <v>1.0784313725490196</v>
      </c>
      <c r="G5" s="2">
        <f t="shared" si="2"/>
        <v>1.2407130746189834</v>
      </c>
      <c r="J5">
        <v>3</v>
      </c>
      <c r="K5" t="s">
        <v>5</v>
      </c>
      <c r="L5">
        <v>257</v>
      </c>
      <c r="N5">
        <f t="shared" si="3"/>
        <v>150</v>
      </c>
      <c r="O5">
        <f t="shared" si="4"/>
        <v>1.875</v>
      </c>
      <c r="P5" s="2">
        <f t="shared" si="5"/>
        <v>1.4549914146182013</v>
      </c>
      <c r="R5">
        <v>3</v>
      </c>
      <c r="S5" t="s">
        <v>6</v>
      </c>
      <c r="T5">
        <v>398</v>
      </c>
      <c r="V5">
        <f t="shared" si="6"/>
        <v>322</v>
      </c>
      <c r="W5">
        <f t="shared" si="7"/>
        <v>4.3513513513513518</v>
      </c>
      <c r="X5" s="2">
        <f t="shared" si="8"/>
        <v>2.3875560517507921</v>
      </c>
      <c r="Z5">
        <v>3</v>
      </c>
      <c r="AA5" t="s">
        <v>4</v>
      </c>
      <c r="AB5">
        <v>368</v>
      </c>
      <c r="AD5">
        <f t="shared" si="9"/>
        <v>298</v>
      </c>
      <c r="AE5">
        <f t="shared" si="10"/>
        <v>5.6761904761904765</v>
      </c>
      <c r="AF5" s="2">
        <f t="shared" si="11"/>
        <v>3.1119143867027717</v>
      </c>
      <c r="AH5">
        <v>3</v>
      </c>
      <c r="AI5" t="s">
        <v>4</v>
      </c>
      <c r="AJ5">
        <v>419</v>
      </c>
      <c r="AL5">
        <f t="shared" si="12"/>
        <v>341.5</v>
      </c>
      <c r="AM5">
        <f t="shared" si="13"/>
        <v>7.6741573033707864</v>
      </c>
      <c r="AN5" s="2">
        <f t="shared" si="14"/>
        <v>4.6405433499940196</v>
      </c>
      <c r="AP5">
        <v>3</v>
      </c>
      <c r="AQ5" t="s">
        <v>4</v>
      </c>
      <c r="AR5">
        <v>417</v>
      </c>
      <c r="AT5">
        <f t="shared" si="15"/>
        <v>329</v>
      </c>
      <c r="AU5">
        <f t="shared" si="16"/>
        <v>5.6239316239316235</v>
      </c>
      <c r="AV5" s="2">
        <f t="shared" si="17"/>
        <v>3.0795587532365443</v>
      </c>
      <c r="AX5">
        <v>3</v>
      </c>
      <c r="AY5" t="s">
        <v>7</v>
      </c>
      <c r="AZ5">
        <v>202</v>
      </c>
      <c r="BB5">
        <f t="shared" si="18"/>
        <v>46</v>
      </c>
      <c r="BC5">
        <f t="shared" si="19"/>
        <v>0.46700507614213199</v>
      </c>
      <c r="BD5" s="2">
        <f t="shared" si="20"/>
        <v>1.0979019223915107</v>
      </c>
      <c r="BF5">
        <v>3</v>
      </c>
      <c r="BG5" t="s">
        <v>6</v>
      </c>
      <c r="BH5">
        <v>323.5</v>
      </c>
      <c r="BJ5">
        <f t="shared" si="21"/>
        <v>175</v>
      </c>
      <c r="BK5">
        <f t="shared" si="22"/>
        <v>1.3358778625954197</v>
      </c>
      <c r="BL5" s="2">
        <f t="shared" si="23"/>
        <v>1.3062697712728319</v>
      </c>
    </row>
    <row r="6" spans="1:64" x14ac:dyDescent="0.2">
      <c r="A6">
        <v>4</v>
      </c>
      <c r="B6" t="s">
        <v>6</v>
      </c>
      <c r="C6">
        <v>216</v>
      </c>
      <c r="E6">
        <f t="shared" si="0"/>
        <v>61</v>
      </c>
      <c r="F6">
        <f t="shared" si="1"/>
        <v>0.39869281045751637</v>
      </c>
      <c r="G6" s="2">
        <f t="shared" si="2"/>
        <v>1.0830038923876744</v>
      </c>
      <c r="J6">
        <v>4</v>
      </c>
      <c r="K6" t="s">
        <v>4</v>
      </c>
      <c r="L6">
        <v>187</v>
      </c>
      <c r="N6">
        <f t="shared" si="3"/>
        <v>80</v>
      </c>
      <c r="O6">
        <f t="shared" si="4"/>
        <v>1</v>
      </c>
      <c r="P6" s="2">
        <f t="shared" si="5"/>
        <v>1.2214027581601699</v>
      </c>
      <c r="R6">
        <v>4</v>
      </c>
      <c r="S6" t="s">
        <v>8</v>
      </c>
      <c r="T6">
        <v>173</v>
      </c>
      <c r="V6">
        <f t="shared" si="6"/>
        <v>97</v>
      </c>
      <c r="W6">
        <f t="shared" si="7"/>
        <v>1.3108108108108107</v>
      </c>
      <c r="X6" s="2">
        <f t="shared" si="8"/>
        <v>1.2997372935507561</v>
      </c>
      <c r="Z6">
        <v>4</v>
      </c>
      <c r="AA6" t="s">
        <v>8</v>
      </c>
      <c r="AB6">
        <v>187</v>
      </c>
      <c r="AD6">
        <f t="shared" si="9"/>
        <v>117</v>
      </c>
      <c r="AE6">
        <f t="shared" si="10"/>
        <v>2.2285714285714286</v>
      </c>
      <c r="AF6" s="2">
        <f t="shared" si="11"/>
        <v>1.5616052298658654</v>
      </c>
      <c r="AH6">
        <v>4</v>
      </c>
      <c r="AI6" t="s">
        <v>15</v>
      </c>
      <c r="AJ6">
        <v>122</v>
      </c>
      <c r="AL6">
        <f t="shared" si="12"/>
        <v>44.5</v>
      </c>
      <c r="AM6">
        <f t="shared" si="13"/>
        <v>1</v>
      </c>
      <c r="AN6" s="2">
        <f t="shared" si="14"/>
        <v>1.2214027581601699</v>
      </c>
      <c r="AP6">
        <v>4</v>
      </c>
      <c r="AQ6" t="s">
        <v>7</v>
      </c>
      <c r="AR6">
        <v>145</v>
      </c>
      <c r="AT6">
        <f t="shared" si="15"/>
        <v>57</v>
      </c>
      <c r="AU6">
        <f t="shared" si="16"/>
        <v>0.97435897435897434</v>
      </c>
      <c r="AV6" s="2">
        <f t="shared" si="17"/>
        <v>1.2151551873762347</v>
      </c>
      <c r="AX6">
        <v>4</v>
      </c>
      <c r="AY6" t="s">
        <v>17</v>
      </c>
      <c r="AZ6">
        <v>195</v>
      </c>
      <c r="BB6">
        <f t="shared" si="18"/>
        <v>39</v>
      </c>
      <c r="BC6">
        <f t="shared" si="19"/>
        <v>0.39593908629441626</v>
      </c>
      <c r="BD6" s="2">
        <f t="shared" si="20"/>
        <v>1.082407597808386</v>
      </c>
      <c r="BF6">
        <v>4</v>
      </c>
      <c r="BG6" t="s">
        <v>7</v>
      </c>
      <c r="BH6">
        <v>275</v>
      </c>
      <c r="BJ6">
        <f t="shared" si="21"/>
        <v>126.5</v>
      </c>
      <c r="BK6">
        <f t="shared" si="22"/>
        <v>0.96564885496183206</v>
      </c>
      <c r="BL6" s="2">
        <f t="shared" si="23"/>
        <v>1.2130402007360832</v>
      </c>
    </row>
    <row r="7" spans="1:64" x14ac:dyDescent="0.2">
      <c r="A7">
        <v>5</v>
      </c>
      <c r="B7" t="s">
        <v>7</v>
      </c>
      <c r="C7">
        <v>181</v>
      </c>
      <c r="E7">
        <f t="shared" si="0"/>
        <v>26</v>
      </c>
      <c r="F7">
        <f t="shared" si="1"/>
        <v>0.16993464052287582</v>
      </c>
      <c r="G7" s="2">
        <f t="shared" si="2"/>
        <v>1.0345710828347223</v>
      </c>
      <c r="J7">
        <v>5</v>
      </c>
      <c r="K7" t="s">
        <v>8</v>
      </c>
      <c r="L7">
        <v>136</v>
      </c>
      <c r="N7">
        <f t="shared" si="3"/>
        <v>29</v>
      </c>
      <c r="O7">
        <f t="shared" si="4"/>
        <v>0.36249999999999999</v>
      </c>
      <c r="P7" s="2">
        <f t="shared" si="5"/>
        <v>1.075192806090155</v>
      </c>
      <c r="R7">
        <v>5</v>
      </c>
      <c r="S7" t="s">
        <v>5</v>
      </c>
      <c r="T7">
        <v>138</v>
      </c>
      <c r="V7">
        <f t="shared" si="6"/>
        <v>62</v>
      </c>
      <c r="W7">
        <f t="shared" si="7"/>
        <v>0.83783783783783783</v>
      </c>
      <c r="X7" s="2">
        <f t="shared" si="8"/>
        <v>1.1824251810791908</v>
      </c>
      <c r="Z7">
        <v>5</v>
      </c>
      <c r="AA7" t="s">
        <v>5</v>
      </c>
      <c r="AB7">
        <v>83</v>
      </c>
      <c r="AD7">
        <f t="shared" si="9"/>
        <v>13</v>
      </c>
      <c r="AE7">
        <f t="shared" si="10"/>
        <v>0.24761904761904763</v>
      </c>
      <c r="AF7" s="2">
        <f t="shared" si="11"/>
        <v>1.0507706102648526</v>
      </c>
      <c r="AH7">
        <v>5</v>
      </c>
      <c r="AI7" t="s">
        <v>14</v>
      </c>
      <c r="AJ7">
        <v>93</v>
      </c>
      <c r="AL7">
        <f t="shared" si="12"/>
        <v>15.5</v>
      </c>
      <c r="AM7">
        <f t="shared" si="13"/>
        <v>0.34831460674157305</v>
      </c>
      <c r="AN7" s="2">
        <f t="shared" si="14"/>
        <v>1.072146722565984</v>
      </c>
      <c r="AP7">
        <v>5</v>
      </c>
      <c r="AQ7" t="s">
        <v>15</v>
      </c>
      <c r="AR7">
        <v>91</v>
      </c>
      <c r="AT7">
        <f t="shared" si="15"/>
        <v>3</v>
      </c>
      <c r="AU7">
        <f t="shared" si="16"/>
        <v>5.128205128205128E-2</v>
      </c>
      <c r="AV7" s="2">
        <f t="shared" si="17"/>
        <v>1.0103091875128254</v>
      </c>
      <c r="AX7">
        <v>5</v>
      </c>
      <c r="AY7" t="s">
        <v>15</v>
      </c>
      <c r="AZ7">
        <v>181</v>
      </c>
      <c r="BB7">
        <f t="shared" si="18"/>
        <v>25</v>
      </c>
      <c r="BC7">
        <f t="shared" si="19"/>
        <v>0.25380710659898476</v>
      </c>
      <c r="BD7" s="2">
        <f t="shared" si="20"/>
        <v>1.0520718614227926</v>
      </c>
      <c r="BF7">
        <v>5</v>
      </c>
      <c r="BG7" t="s">
        <v>20</v>
      </c>
      <c r="BH7">
        <v>155</v>
      </c>
      <c r="BJ7">
        <f t="shared" si="21"/>
        <v>6.5</v>
      </c>
      <c r="BK7">
        <f t="shared" si="22"/>
        <v>4.9618320610687022E-2</v>
      </c>
      <c r="BL7" s="2">
        <f t="shared" si="23"/>
        <v>1.0099730669607687</v>
      </c>
    </row>
    <row r="8" spans="1:64" x14ac:dyDescent="0.2">
      <c r="A8">
        <v>6</v>
      </c>
      <c r="B8" t="s">
        <v>8</v>
      </c>
      <c r="C8">
        <v>155</v>
      </c>
      <c r="E8">
        <f t="shared" si="0"/>
        <v>0</v>
      </c>
      <c r="F8">
        <f t="shared" si="1"/>
        <v>0</v>
      </c>
      <c r="G8" s="2">
        <f t="shared" si="2"/>
        <v>1</v>
      </c>
      <c r="J8">
        <v>6</v>
      </c>
      <c r="K8" t="s">
        <v>10</v>
      </c>
      <c r="L8">
        <v>78</v>
      </c>
      <c r="N8">
        <f t="shared" si="3"/>
        <v>29</v>
      </c>
      <c r="O8">
        <f t="shared" si="4"/>
        <v>-0.36249999999999999</v>
      </c>
      <c r="P8" s="2">
        <f t="shared" si="5"/>
        <v>0.93006574666027853</v>
      </c>
      <c r="R8">
        <v>6</v>
      </c>
      <c r="S8" t="s">
        <v>7</v>
      </c>
      <c r="T8">
        <v>76</v>
      </c>
      <c r="V8">
        <f t="shared" si="6"/>
        <v>0</v>
      </c>
      <c r="W8">
        <f t="shared" si="7"/>
        <v>0</v>
      </c>
      <c r="X8" s="2">
        <f t="shared" si="8"/>
        <v>1</v>
      </c>
      <c r="Z8">
        <v>6</v>
      </c>
      <c r="AA8" t="s">
        <v>15</v>
      </c>
      <c r="AB8">
        <v>57</v>
      </c>
      <c r="AD8">
        <f t="shared" si="9"/>
        <v>13</v>
      </c>
      <c r="AE8">
        <f t="shared" si="10"/>
        <v>-0.24761904761904763</v>
      </c>
      <c r="AF8" s="2">
        <f t="shared" si="11"/>
        <v>0.95168249875959543</v>
      </c>
      <c r="AH8">
        <v>6</v>
      </c>
      <c r="AI8" t="s">
        <v>7</v>
      </c>
      <c r="AJ8">
        <v>62</v>
      </c>
      <c r="AL8">
        <f t="shared" si="12"/>
        <v>15.5</v>
      </c>
      <c r="AM8">
        <f t="shared" si="13"/>
        <v>-0.34831460674157305</v>
      </c>
      <c r="AN8" s="2">
        <f t="shared" si="14"/>
        <v>0.93270816293378755</v>
      </c>
      <c r="AP8">
        <v>6</v>
      </c>
      <c r="AQ8" t="s">
        <v>9</v>
      </c>
      <c r="AR8">
        <v>85</v>
      </c>
      <c r="AT8">
        <f t="shared" si="15"/>
        <v>3</v>
      </c>
      <c r="AU8">
        <f t="shared" si="16"/>
        <v>-5.128205128205128E-2</v>
      </c>
      <c r="AV8" s="2">
        <f t="shared" si="17"/>
        <v>0.98979600736067286</v>
      </c>
      <c r="AX8">
        <v>6</v>
      </c>
      <c r="AY8" t="s">
        <v>6</v>
      </c>
      <c r="AZ8">
        <v>131</v>
      </c>
      <c r="BB8">
        <f t="shared" si="18"/>
        <v>25</v>
      </c>
      <c r="BC8">
        <f t="shared" si="19"/>
        <v>-0.25380710659898476</v>
      </c>
      <c r="BD8" s="2">
        <f t="shared" si="20"/>
        <v>0.95050541381044817</v>
      </c>
      <c r="BF8">
        <v>6</v>
      </c>
      <c r="BG8" t="s">
        <v>19</v>
      </c>
      <c r="BH8">
        <v>142</v>
      </c>
      <c r="BJ8">
        <f t="shared" si="21"/>
        <v>6.5</v>
      </c>
      <c r="BK8">
        <f t="shared" si="22"/>
        <v>-4.9618320610687022E-2</v>
      </c>
      <c r="BL8" s="2">
        <f t="shared" si="23"/>
        <v>0.99012541295702095</v>
      </c>
    </row>
    <row r="9" spans="1:64" x14ac:dyDescent="0.2">
      <c r="A9">
        <v>7</v>
      </c>
      <c r="B9" t="s">
        <v>9</v>
      </c>
      <c r="C9">
        <v>30</v>
      </c>
      <c r="E9">
        <f t="shared" si="0"/>
        <v>125</v>
      </c>
      <c r="F9">
        <f t="shared" si="1"/>
        <v>-0.81699346405228757</v>
      </c>
      <c r="G9" s="2">
        <f t="shared" si="2"/>
        <v>0.84925253003075873</v>
      </c>
      <c r="J9">
        <v>7</v>
      </c>
      <c r="K9" t="s">
        <v>9</v>
      </c>
      <c r="L9">
        <v>67</v>
      </c>
      <c r="N9">
        <f t="shared" si="3"/>
        <v>40</v>
      </c>
      <c r="O9">
        <f t="shared" si="4"/>
        <v>-0.5</v>
      </c>
      <c r="P9" s="2">
        <f t="shared" si="5"/>
        <v>0.90483741803595952</v>
      </c>
      <c r="R9">
        <v>7</v>
      </c>
      <c r="S9" t="s">
        <v>9</v>
      </c>
      <c r="T9">
        <v>63</v>
      </c>
      <c r="V9">
        <f t="shared" si="6"/>
        <v>13</v>
      </c>
      <c r="W9">
        <f t="shared" si="7"/>
        <v>-0.17567567567567569</v>
      </c>
      <c r="X9" s="2">
        <f t="shared" si="8"/>
        <v>0.96547493785546012</v>
      </c>
      <c r="Z9">
        <v>7</v>
      </c>
      <c r="AA9" t="s">
        <v>9</v>
      </c>
      <c r="AB9">
        <v>53</v>
      </c>
      <c r="AD9">
        <f t="shared" si="9"/>
        <v>17</v>
      </c>
      <c r="AE9">
        <f t="shared" si="10"/>
        <v>-0.32380952380952382</v>
      </c>
      <c r="AF9" s="2">
        <f t="shared" si="11"/>
        <v>0.9372906012411848</v>
      </c>
      <c r="AH9">
        <v>7</v>
      </c>
      <c r="AI9" t="s">
        <v>8</v>
      </c>
      <c r="AJ9">
        <v>52</v>
      </c>
      <c r="AL9">
        <f t="shared" si="12"/>
        <v>25.5</v>
      </c>
      <c r="AM9">
        <f t="shared" si="13"/>
        <v>-0.5730337078651685</v>
      </c>
      <c r="AN9" s="2">
        <f t="shared" si="14"/>
        <v>0.8917167500893346</v>
      </c>
      <c r="AP9">
        <v>7</v>
      </c>
      <c r="AQ9" t="s">
        <v>17</v>
      </c>
      <c r="AR9">
        <v>73</v>
      </c>
      <c r="AT9">
        <f t="shared" si="15"/>
        <v>15</v>
      </c>
      <c r="AU9">
        <f t="shared" si="16"/>
        <v>-0.25641025641025639</v>
      </c>
      <c r="AV9" s="2">
        <f t="shared" si="17"/>
        <v>0.95001068101026809</v>
      </c>
      <c r="AX9">
        <v>7</v>
      </c>
      <c r="AY9" t="s">
        <v>19</v>
      </c>
      <c r="AZ9">
        <v>107</v>
      </c>
      <c r="BB9">
        <f t="shared" si="18"/>
        <v>49</v>
      </c>
      <c r="BC9">
        <f t="shared" si="19"/>
        <v>-0.49746192893401014</v>
      </c>
      <c r="BD9" s="2">
        <f t="shared" si="20"/>
        <v>0.90529684296543489</v>
      </c>
      <c r="BF9">
        <v>7</v>
      </c>
      <c r="BG9" t="s">
        <v>21</v>
      </c>
      <c r="BH9">
        <v>77</v>
      </c>
      <c r="BJ9">
        <f t="shared" si="21"/>
        <v>71.5</v>
      </c>
      <c r="BK9">
        <f t="shared" si="22"/>
        <v>-0.54580152671755722</v>
      </c>
      <c r="BL9" s="2">
        <f t="shared" si="23"/>
        <v>0.89658667834200645</v>
      </c>
    </row>
    <row r="10" spans="1:64" x14ac:dyDescent="0.2">
      <c r="A10">
        <v>8</v>
      </c>
      <c r="B10" t="s">
        <v>10</v>
      </c>
      <c r="C10">
        <v>10</v>
      </c>
      <c r="E10">
        <f t="shared" si="0"/>
        <v>145</v>
      </c>
      <c r="F10">
        <f t="shared" si="1"/>
        <v>-0.94771241830065356</v>
      </c>
      <c r="G10" s="2">
        <f t="shared" si="2"/>
        <v>0.82733756782278611</v>
      </c>
      <c r="J10">
        <v>8</v>
      </c>
      <c r="K10" t="s">
        <v>12</v>
      </c>
      <c r="L10">
        <v>36</v>
      </c>
      <c r="N10">
        <f t="shared" si="3"/>
        <v>71</v>
      </c>
      <c r="O10">
        <f t="shared" si="4"/>
        <v>-0.88749999999999996</v>
      </c>
      <c r="P10" s="2">
        <f t="shared" si="5"/>
        <v>0.83736099933575392</v>
      </c>
      <c r="R10">
        <v>8</v>
      </c>
      <c r="S10" t="s">
        <v>14</v>
      </c>
      <c r="T10">
        <v>29</v>
      </c>
      <c r="V10">
        <f t="shared" si="6"/>
        <v>47</v>
      </c>
      <c r="W10">
        <f t="shared" si="7"/>
        <v>-0.63513513513513509</v>
      </c>
      <c r="X10" s="2">
        <f t="shared" si="8"/>
        <v>0.88070986930605155</v>
      </c>
      <c r="Z10">
        <v>8</v>
      </c>
      <c r="AA10" t="s">
        <v>14</v>
      </c>
      <c r="AB10">
        <v>47</v>
      </c>
      <c r="AD10">
        <f t="shared" si="9"/>
        <v>23</v>
      </c>
      <c r="AE10">
        <f t="shared" si="10"/>
        <v>-0.43809523809523809</v>
      </c>
      <c r="AF10" s="2">
        <f t="shared" si="11"/>
        <v>0.91610980446790413</v>
      </c>
      <c r="AH10">
        <v>8</v>
      </c>
      <c r="AI10" t="s">
        <v>12</v>
      </c>
      <c r="AJ10">
        <v>48</v>
      </c>
      <c r="AL10">
        <f t="shared" si="12"/>
        <v>29.5</v>
      </c>
      <c r="AM10">
        <f t="shared" si="13"/>
        <v>-0.6629213483146067</v>
      </c>
      <c r="AN10" s="2">
        <f t="shared" si="14"/>
        <v>0.87582912517116496</v>
      </c>
      <c r="AP10">
        <v>8</v>
      </c>
      <c r="AQ10" t="s">
        <v>18</v>
      </c>
      <c r="AR10">
        <v>57</v>
      </c>
      <c r="AT10">
        <f t="shared" si="15"/>
        <v>31</v>
      </c>
      <c r="AU10">
        <f t="shared" si="16"/>
        <v>-0.52991452991452992</v>
      </c>
      <c r="AV10" s="2">
        <f t="shared" si="17"/>
        <v>0.89944002298764214</v>
      </c>
      <c r="AX10">
        <v>8</v>
      </c>
      <c r="AY10" t="s">
        <v>18</v>
      </c>
      <c r="AZ10">
        <v>8</v>
      </c>
      <c r="BB10">
        <f t="shared" si="18"/>
        <v>148</v>
      </c>
      <c r="BC10">
        <f t="shared" si="19"/>
        <v>-1.5025380710659899</v>
      </c>
      <c r="BD10" s="2">
        <f t="shared" si="20"/>
        <v>0.74044226625148268</v>
      </c>
      <c r="BF10">
        <v>8</v>
      </c>
      <c r="BG10" t="s">
        <v>5</v>
      </c>
      <c r="BH10">
        <v>23</v>
      </c>
      <c r="BJ10">
        <f t="shared" si="21"/>
        <v>125.5</v>
      </c>
      <c r="BK10">
        <f t="shared" si="22"/>
        <v>-0.9580152671755725</v>
      </c>
      <c r="BL10" s="2">
        <f>EXP(BK10*0.2)</f>
        <v>0.82563453624709904</v>
      </c>
    </row>
    <row r="11" spans="1:64" x14ac:dyDescent="0.2">
      <c r="A11">
        <v>9</v>
      </c>
      <c r="B11" t="s">
        <v>11</v>
      </c>
      <c r="C11">
        <v>2</v>
      </c>
      <c r="E11">
        <f t="shared" si="0"/>
        <v>153</v>
      </c>
      <c r="F11">
        <f t="shared" si="1"/>
        <v>-1</v>
      </c>
      <c r="G11" s="2">
        <f t="shared" si="2"/>
        <v>0.81873075307798182</v>
      </c>
      <c r="J11">
        <v>9</v>
      </c>
      <c r="K11" t="s">
        <v>7</v>
      </c>
      <c r="L11">
        <v>27</v>
      </c>
      <c r="N11">
        <f t="shared" si="3"/>
        <v>80</v>
      </c>
      <c r="O11">
        <f t="shared" si="4"/>
        <v>-1</v>
      </c>
      <c r="P11" s="2">
        <f t="shared" si="5"/>
        <v>0.81873075307798182</v>
      </c>
      <c r="R11">
        <v>9</v>
      </c>
      <c r="S11" t="s">
        <v>15</v>
      </c>
      <c r="T11">
        <v>8</v>
      </c>
      <c r="V11">
        <f t="shared" si="6"/>
        <v>68</v>
      </c>
      <c r="W11">
        <f t="shared" si="7"/>
        <v>-0.91891891891891897</v>
      </c>
      <c r="X11" s="2">
        <f t="shared" si="8"/>
        <v>0.832115701285983</v>
      </c>
      <c r="Z11">
        <v>9</v>
      </c>
      <c r="AA11" t="s">
        <v>7</v>
      </c>
      <c r="AB11">
        <v>30</v>
      </c>
      <c r="AD11">
        <f t="shared" si="9"/>
        <v>40</v>
      </c>
      <c r="AE11">
        <f t="shared" si="10"/>
        <v>-0.76190476190476186</v>
      </c>
      <c r="AF11" s="2">
        <f t="shared" si="11"/>
        <v>0.85866110943266616</v>
      </c>
      <c r="AH11">
        <v>9</v>
      </c>
      <c r="AI11" t="s">
        <v>9</v>
      </c>
      <c r="AJ11">
        <v>33</v>
      </c>
      <c r="AL11">
        <f t="shared" si="12"/>
        <v>44.5</v>
      </c>
      <c r="AM11">
        <f t="shared" si="13"/>
        <v>-1</v>
      </c>
      <c r="AN11" s="2">
        <f t="shared" si="14"/>
        <v>0.81873075307798182</v>
      </c>
      <c r="AP11">
        <v>9</v>
      </c>
      <c r="AQ11" t="s">
        <v>14</v>
      </c>
      <c r="AR11">
        <v>28</v>
      </c>
      <c r="AT11">
        <f t="shared" si="15"/>
        <v>60</v>
      </c>
      <c r="AU11">
        <f t="shared" si="16"/>
        <v>-1.0256410256410255</v>
      </c>
      <c r="AV11" s="2">
        <f t="shared" si="17"/>
        <v>0.81454288114248363</v>
      </c>
      <c r="AX11">
        <v>9</v>
      </c>
      <c r="AY11" t="s">
        <v>14</v>
      </c>
      <c r="AZ11">
        <v>3</v>
      </c>
      <c r="BB11">
        <f t="shared" si="18"/>
        <v>153</v>
      </c>
      <c r="BC11">
        <f t="shared" si="19"/>
        <v>-1.5532994923857868</v>
      </c>
      <c r="BD11" s="2">
        <f t="shared" si="20"/>
        <v>0.73296311535528547</v>
      </c>
      <c r="BF11">
        <v>9</v>
      </c>
      <c r="BG11" t="s">
        <v>18</v>
      </c>
      <c r="BH11">
        <v>13</v>
      </c>
      <c r="BJ11">
        <f t="shared" si="21"/>
        <v>135.5</v>
      </c>
      <c r="BK11">
        <f t="shared" si="22"/>
        <v>-1.0343511450381679</v>
      </c>
      <c r="BL11" s="2">
        <f t="shared" si="23"/>
        <v>0.81312516320049233</v>
      </c>
    </row>
    <row r="12" spans="1:64" x14ac:dyDescent="0.2">
      <c r="A12">
        <v>10</v>
      </c>
      <c r="B12" t="s">
        <v>12</v>
      </c>
      <c r="C12">
        <v>0</v>
      </c>
      <c r="E12">
        <f t="shared" si="0"/>
        <v>155</v>
      </c>
      <c r="F12">
        <f t="shared" si="1"/>
        <v>-1.0130718954248366</v>
      </c>
      <c r="G12" s="2">
        <f t="shared" si="2"/>
        <v>0.81659307608750353</v>
      </c>
      <c r="J12">
        <v>10</v>
      </c>
      <c r="K12" t="s">
        <v>11</v>
      </c>
      <c r="L12">
        <v>0</v>
      </c>
      <c r="N12">
        <f t="shared" si="3"/>
        <v>107</v>
      </c>
      <c r="O12">
        <f t="shared" si="4"/>
        <v>-1.3374999999999999</v>
      </c>
      <c r="P12" s="2">
        <f t="shared" si="5"/>
        <v>0.7652903306228257</v>
      </c>
      <c r="R12">
        <v>10</v>
      </c>
      <c r="S12" t="s">
        <v>12</v>
      </c>
      <c r="T12">
        <v>2</v>
      </c>
      <c r="V12">
        <f t="shared" si="6"/>
        <v>74</v>
      </c>
      <c r="W12">
        <f t="shared" si="7"/>
        <v>-1</v>
      </c>
      <c r="X12" s="2">
        <f t="shared" si="8"/>
        <v>0.81873075307798182</v>
      </c>
      <c r="Z12">
        <v>10</v>
      </c>
      <c r="AA12" t="s">
        <v>12</v>
      </c>
      <c r="AB12">
        <v>5</v>
      </c>
      <c r="AD12">
        <f t="shared" si="9"/>
        <v>65</v>
      </c>
      <c r="AE12">
        <f t="shared" si="10"/>
        <v>-1.2380952380952381</v>
      </c>
      <c r="AF12" s="2">
        <f t="shared" si="11"/>
        <v>0.78065727988837486</v>
      </c>
      <c r="AH12">
        <v>10</v>
      </c>
      <c r="AI12" t="s">
        <v>5</v>
      </c>
      <c r="AJ12">
        <v>7</v>
      </c>
      <c r="AL12">
        <f t="shared" si="12"/>
        <v>70.5</v>
      </c>
      <c r="AM12">
        <f t="shared" si="13"/>
        <v>-1.5842696629213484</v>
      </c>
      <c r="AN12" s="2">
        <f t="shared" si="14"/>
        <v>0.72843714828699768</v>
      </c>
      <c r="AP12">
        <v>10</v>
      </c>
      <c r="AQ12" t="s">
        <v>5</v>
      </c>
      <c r="AR12">
        <v>1</v>
      </c>
      <c r="AT12">
        <f t="shared" si="15"/>
        <v>87</v>
      </c>
      <c r="AU12">
        <f t="shared" si="16"/>
        <v>-1.4871794871794872</v>
      </c>
      <c r="AV12" s="2">
        <f t="shared" si="17"/>
        <v>0.74272019196356032</v>
      </c>
      <c r="AX12">
        <v>10</v>
      </c>
      <c r="AY12" t="s">
        <v>5</v>
      </c>
      <c r="AZ12">
        <v>0</v>
      </c>
      <c r="BB12">
        <f t="shared" si="18"/>
        <v>156</v>
      </c>
      <c r="BC12">
        <f t="shared" si="19"/>
        <v>-1.5837563451776651</v>
      </c>
      <c r="BD12" s="2">
        <f t="shared" si="20"/>
        <v>0.72851193606859632</v>
      </c>
      <c r="BF12">
        <v>10</v>
      </c>
      <c r="BG12" t="s">
        <v>14</v>
      </c>
      <c r="BH12">
        <v>0</v>
      </c>
      <c r="BJ12">
        <f t="shared" si="21"/>
        <v>148.5</v>
      </c>
      <c r="BK12">
        <f t="shared" si="22"/>
        <v>-1.133587786259542</v>
      </c>
      <c r="BL12" s="2">
        <f t="shared" si="23"/>
        <v>0.79714589857563556</v>
      </c>
    </row>
    <row r="13" spans="1:64" x14ac:dyDescent="0.2">
      <c r="A13">
        <v>11</v>
      </c>
      <c r="B13" t="s">
        <v>13</v>
      </c>
      <c r="C13">
        <v>0</v>
      </c>
      <c r="E13">
        <f t="shared" si="0"/>
        <v>155</v>
      </c>
      <c r="F13">
        <f t="shared" si="1"/>
        <v>-1.0130718954248366</v>
      </c>
      <c r="G13" s="2">
        <f t="shared" si="2"/>
        <v>0.81659307608750353</v>
      </c>
      <c r="R13">
        <v>11</v>
      </c>
      <c r="S13" t="s">
        <v>16</v>
      </c>
      <c r="T13">
        <v>1</v>
      </c>
      <c r="V13">
        <f t="shared" si="6"/>
        <v>75</v>
      </c>
      <c r="W13">
        <f t="shared" si="7"/>
        <v>-1.0135135135135136</v>
      </c>
      <c r="X13" s="2">
        <f t="shared" si="8"/>
        <v>0.81652095481785836</v>
      </c>
    </row>
    <row r="15" spans="1:64" x14ac:dyDescent="0.2">
      <c r="D15" t="s">
        <v>22</v>
      </c>
      <c r="E15">
        <f>MEDIAN($E$3:$E$13)</f>
        <v>153</v>
      </c>
      <c r="M15" t="s">
        <v>22</v>
      </c>
      <c r="N15">
        <f>MEDIAN($N$3:$N$12)</f>
        <v>80</v>
      </c>
      <c r="U15" t="s">
        <v>22</v>
      </c>
      <c r="V15">
        <f>MEDIAN($V$3:$V$13)</f>
        <v>74</v>
      </c>
      <c r="AC15" t="s">
        <v>22</v>
      </c>
      <c r="AD15">
        <f>MEDIAN($AD$3:$AD$12)</f>
        <v>52.5</v>
      </c>
      <c r="AK15" t="s">
        <v>22</v>
      </c>
      <c r="AL15">
        <f>MEDIAN($AL$3:$AL$12)</f>
        <v>44.5</v>
      </c>
      <c r="AS15" t="s">
        <v>22</v>
      </c>
      <c r="AT15">
        <f>MEDIAN($AT$3:$AT$12)</f>
        <v>58.5</v>
      </c>
      <c r="BA15" t="s">
        <v>22</v>
      </c>
      <c r="BB15">
        <f>MEDIAN($BB$3:$BB$12)</f>
        <v>98.5</v>
      </c>
      <c r="BI15" t="s">
        <v>22</v>
      </c>
      <c r="BJ15">
        <f>MEDIAN($BJ$3:$BJ$12)</f>
        <v>131</v>
      </c>
    </row>
    <row r="17" spans="1:14" x14ac:dyDescent="0.2">
      <c r="D17" t="s">
        <v>27</v>
      </c>
      <c r="E17">
        <v>0.2</v>
      </c>
    </row>
    <row r="21" spans="1:14" x14ac:dyDescent="0.2">
      <c r="A21" s="11" t="s">
        <v>1</v>
      </c>
      <c r="B21" s="11" t="s">
        <v>28</v>
      </c>
      <c r="C21" s="11"/>
      <c r="D21" s="11"/>
      <c r="E21" s="11"/>
      <c r="F21" s="11"/>
      <c r="G21" s="11"/>
      <c r="H21" s="11"/>
      <c r="I21" s="11"/>
      <c r="J21" s="1"/>
    </row>
    <row r="22" spans="1:14" x14ac:dyDescent="0.2">
      <c r="A22" s="11"/>
      <c r="B22">
        <v>2014</v>
      </c>
      <c r="C22">
        <v>2015</v>
      </c>
      <c r="D22">
        <v>2016</v>
      </c>
      <c r="E22">
        <v>2017</v>
      </c>
      <c r="F22">
        <v>2018</v>
      </c>
      <c r="G22">
        <v>2019</v>
      </c>
      <c r="H22">
        <v>2020</v>
      </c>
      <c r="I22">
        <v>2021</v>
      </c>
      <c r="M22" s="2"/>
      <c r="N22" s="2"/>
    </row>
    <row r="23" spans="1:14" x14ac:dyDescent="0.2">
      <c r="A23" t="s">
        <v>3</v>
      </c>
      <c r="B23" s="2">
        <v>2.0415830058489735</v>
      </c>
      <c r="C23" s="2">
        <v>4.4370955190036652</v>
      </c>
      <c r="D23" s="2">
        <v>6.4376409581524472</v>
      </c>
      <c r="E23" s="2">
        <v>9.7580758853492107</v>
      </c>
      <c r="F23" s="2">
        <v>13.403362629519636</v>
      </c>
      <c r="G23" s="2">
        <v>9.2594164252515174</v>
      </c>
      <c r="H23" s="2">
        <v>2.3319399264155329</v>
      </c>
      <c r="I23" s="2">
        <v>2.0338359980645091</v>
      </c>
      <c r="M23" s="2"/>
      <c r="N23" s="2"/>
    </row>
    <row r="24" spans="1:14" x14ac:dyDescent="0.2">
      <c r="A24" t="s">
        <v>6</v>
      </c>
      <c r="B24" s="2">
        <v>1.0830038923876744</v>
      </c>
      <c r="C24" s="2">
        <v>2.2311117414284043</v>
      </c>
      <c r="D24" s="2">
        <v>2.3875560517507921</v>
      </c>
      <c r="E24" s="2">
        <v>5.5951757984499775</v>
      </c>
      <c r="F24" s="2">
        <v>9.1887281159495338</v>
      </c>
      <c r="G24" s="2">
        <v>4.1463242639128826</v>
      </c>
      <c r="H24" s="2">
        <v>0.95050541381044817</v>
      </c>
      <c r="I24" s="2">
        <v>1.3062697712728319</v>
      </c>
      <c r="M24" s="2"/>
      <c r="N24" s="2"/>
    </row>
    <row r="25" spans="1:14" x14ac:dyDescent="0.2">
      <c r="A25" t="s">
        <v>4</v>
      </c>
      <c r="B25" s="2">
        <v>1.3865205197240607</v>
      </c>
      <c r="C25" s="2">
        <v>1.2214027581601699</v>
      </c>
      <c r="D25" s="2">
        <v>2.8848112103330719</v>
      </c>
      <c r="E25" s="2">
        <v>3.1119143867027717</v>
      </c>
      <c r="F25" s="2">
        <v>4.6405433499940196</v>
      </c>
      <c r="G25" s="2">
        <v>3.0795587532365443</v>
      </c>
      <c r="H25" s="2">
        <v>1.392310318473744</v>
      </c>
      <c r="I25" s="2">
        <v>1.9487255065670239</v>
      </c>
      <c r="M25" s="2"/>
      <c r="N25" s="2"/>
    </row>
    <row r="26" spans="1:14" x14ac:dyDescent="0.2">
      <c r="A26" t="s">
        <v>5</v>
      </c>
      <c r="B26" s="2">
        <v>1.2407130746189834</v>
      </c>
      <c r="C26" s="2">
        <v>1.4549914146182013</v>
      </c>
      <c r="D26" s="2">
        <v>1.1824251810791908</v>
      </c>
      <c r="E26" s="2">
        <v>1.0507706102648526</v>
      </c>
      <c r="F26" s="2">
        <v>0.72843714828699768</v>
      </c>
      <c r="G26" s="2">
        <v>0.74272019196356032</v>
      </c>
      <c r="H26" s="2">
        <v>0.72851193606859632</v>
      </c>
      <c r="I26" s="2">
        <v>0.82563453624709904</v>
      </c>
      <c r="M26" s="2"/>
      <c r="N26" s="2"/>
    </row>
    <row r="27" spans="1:14" x14ac:dyDescent="0.2">
      <c r="A27" t="s">
        <v>7</v>
      </c>
      <c r="B27" s="2">
        <v>1.0345710828347223</v>
      </c>
      <c r="C27" s="2">
        <v>0.81873075307798182</v>
      </c>
      <c r="D27" s="2">
        <v>1</v>
      </c>
      <c r="E27" s="2">
        <v>0.85866110943266616</v>
      </c>
      <c r="F27" s="2">
        <v>0.93270816293378755</v>
      </c>
      <c r="G27" s="2">
        <v>1.2151551873762347</v>
      </c>
      <c r="H27" s="2">
        <v>1.0979019223915107</v>
      </c>
      <c r="I27" s="2">
        <v>1.2130402007360832</v>
      </c>
      <c r="M27" s="2"/>
      <c r="N27" s="2"/>
    </row>
    <row r="28" spans="1:14" x14ac:dyDescent="0.2">
      <c r="A28" t="s">
        <v>34</v>
      </c>
      <c r="B28" s="2">
        <v>1</v>
      </c>
      <c r="C28" s="2">
        <v>1.075192806090155</v>
      </c>
      <c r="D28" s="2">
        <v>1.2997372935507561</v>
      </c>
      <c r="E28" s="2">
        <v>1.5616052298658654</v>
      </c>
      <c r="F28" s="2">
        <v>0.8917167500893346</v>
      </c>
      <c r="G28" s="2">
        <v>0.95001068101026809</v>
      </c>
      <c r="H28" s="2">
        <v>1.082407597808386</v>
      </c>
      <c r="I28" s="2">
        <v>0.89658667834200645</v>
      </c>
      <c r="M28" s="2"/>
      <c r="N28" s="2"/>
    </row>
    <row r="29" spans="1:14" x14ac:dyDescent="0.2">
      <c r="A29" t="s">
        <v>33</v>
      </c>
      <c r="B29" s="2">
        <v>0.82733756782278611</v>
      </c>
      <c r="C29" s="2">
        <v>0.93006574666027853</v>
      </c>
      <c r="D29" s="2">
        <v>0.832115701285983</v>
      </c>
      <c r="E29" s="2">
        <v>0.95168249875959543</v>
      </c>
      <c r="F29" s="2">
        <v>1.2214027581601699</v>
      </c>
      <c r="G29" s="2">
        <v>1.0103091875128254</v>
      </c>
      <c r="H29" s="2">
        <v>1.0520718614227926</v>
      </c>
      <c r="I29" s="2">
        <v>1.0099730669607687</v>
      </c>
      <c r="M29" s="2"/>
      <c r="N29" s="2"/>
    </row>
    <row r="30" spans="1:14" x14ac:dyDescent="0.2">
      <c r="A30" t="s">
        <v>32</v>
      </c>
      <c r="B30" s="2">
        <v>0.84925253003075873</v>
      </c>
      <c r="C30" s="2">
        <v>0.90483741803595952</v>
      </c>
      <c r="D30" s="2">
        <v>0.96547493785546012</v>
      </c>
      <c r="E30" s="2">
        <v>0.9372906012411848</v>
      </c>
      <c r="F30" s="2">
        <v>0.81873075307798182</v>
      </c>
      <c r="G30" s="2">
        <v>0.98979600736067286</v>
      </c>
      <c r="H30" s="2">
        <v>0.90529684296543489</v>
      </c>
      <c r="I30" s="2">
        <v>0.99012541295702095</v>
      </c>
      <c r="M30" s="2"/>
      <c r="N30" s="2"/>
    </row>
    <row r="31" spans="1:14" x14ac:dyDescent="0.2">
      <c r="A31" t="s">
        <v>31</v>
      </c>
      <c r="B31" s="2">
        <v>0.81659307608750353</v>
      </c>
      <c r="C31" s="2">
        <v>0.83736099933575392</v>
      </c>
      <c r="D31" s="2">
        <v>0.81873075307798182</v>
      </c>
      <c r="E31" s="2">
        <v>0.78065727988837486</v>
      </c>
      <c r="F31" s="2">
        <v>0.87582912517116496</v>
      </c>
      <c r="G31" s="2">
        <v>0.89944002298764214</v>
      </c>
      <c r="H31" s="2">
        <v>0.74044226625148268</v>
      </c>
      <c r="I31" s="2">
        <v>0.81312516320049233</v>
      </c>
      <c r="M31" s="2"/>
      <c r="N31" s="2"/>
    </row>
    <row r="32" spans="1:14" x14ac:dyDescent="0.2">
      <c r="A32" t="s">
        <v>29</v>
      </c>
      <c r="B32" s="2">
        <v>0.81873075307798182</v>
      </c>
      <c r="C32" s="2">
        <v>0.7652903306228257</v>
      </c>
      <c r="D32" s="2">
        <v>0.81652095481785836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M32" s="2"/>
      <c r="N32" s="2"/>
    </row>
    <row r="33" spans="1:9" x14ac:dyDescent="0.2">
      <c r="A33" t="s">
        <v>13</v>
      </c>
      <c r="B33" s="2">
        <v>0.81659307608750353</v>
      </c>
      <c r="C33" t="s">
        <v>30</v>
      </c>
      <c r="D33" t="s">
        <v>30</v>
      </c>
      <c r="E33" t="s">
        <v>30</v>
      </c>
      <c r="F33" t="s">
        <v>30</v>
      </c>
      <c r="G33" t="s">
        <v>30</v>
      </c>
      <c r="H33" t="s">
        <v>30</v>
      </c>
      <c r="I33" t="s">
        <v>30</v>
      </c>
    </row>
    <row r="34" spans="1:9" x14ac:dyDescent="0.2">
      <c r="A34" t="s">
        <v>14</v>
      </c>
      <c r="B34" t="s">
        <v>30</v>
      </c>
      <c r="C34" t="s">
        <v>30</v>
      </c>
      <c r="D34" s="2">
        <v>0.88070986930605155</v>
      </c>
      <c r="E34" s="2">
        <v>0.91610980446790413</v>
      </c>
      <c r="F34" s="2">
        <v>1.072146722565984</v>
      </c>
      <c r="G34" s="2">
        <v>0.81454288114248363</v>
      </c>
      <c r="H34" s="2">
        <v>0.73296311535528547</v>
      </c>
      <c r="I34" s="2">
        <v>0.79714589857563556</v>
      </c>
    </row>
  </sheetData>
  <mergeCells count="3">
    <mergeCell ref="B21:I21"/>
    <mergeCell ref="A21:A22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B4D1-71D0-1D4E-A069-0C0ED59A3B65}">
  <dimension ref="A1:BA30"/>
  <sheetViews>
    <sheetView workbookViewId="0">
      <selection activeCell="AV28" sqref="AV28"/>
    </sheetView>
  </sheetViews>
  <sheetFormatPr baseColWidth="10" defaultRowHeight="16" x14ac:dyDescent="0.2"/>
  <cols>
    <col min="1" max="1" width="19.6640625" bestFit="1" customWidth="1"/>
    <col min="2" max="2" width="11.6640625" bestFit="1" customWidth="1"/>
    <col min="4" max="5" width="25.33203125" bestFit="1" customWidth="1"/>
    <col min="7" max="7" width="16.6640625" bestFit="1" customWidth="1"/>
    <col min="8" max="8" width="12.6640625" bestFit="1" customWidth="1"/>
    <col min="11" max="11" width="25.33203125" bestFit="1" customWidth="1"/>
    <col min="14" max="14" width="11.6640625" bestFit="1" customWidth="1"/>
    <col min="17" max="17" width="25.33203125" bestFit="1" customWidth="1"/>
    <col min="23" max="23" width="25.33203125" bestFit="1" customWidth="1"/>
    <col min="29" max="29" width="25.33203125" bestFit="1" customWidth="1"/>
    <col min="32" max="32" width="11.6640625" bestFit="1" customWidth="1"/>
    <col min="35" max="35" width="25.33203125" bestFit="1" customWidth="1"/>
    <col min="41" max="41" width="25.33203125" bestFit="1" customWidth="1"/>
    <col min="47" max="47" width="25.33203125" bestFit="1" customWidth="1"/>
  </cols>
  <sheetData>
    <row r="1" spans="1:53" x14ac:dyDescent="0.2">
      <c r="A1">
        <v>2014</v>
      </c>
      <c r="G1">
        <v>2015</v>
      </c>
      <c r="M1" s="4">
        <v>2016</v>
      </c>
      <c r="N1" s="4"/>
      <c r="O1" s="4"/>
      <c r="P1" s="4"/>
      <c r="Q1" s="4"/>
      <c r="S1">
        <v>2017</v>
      </c>
      <c r="Y1">
        <v>2018</v>
      </c>
      <c r="AE1">
        <v>2019</v>
      </c>
      <c r="AK1">
        <v>2020</v>
      </c>
      <c r="AQ1">
        <v>2021</v>
      </c>
    </row>
    <row r="2" spans="1:53" x14ac:dyDescent="0.2">
      <c r="A2" t="s">
        <v>0</v>
      </c>
      <c r="B2" t="s">
        <v>1</v>
      </c>
      <c r="C2" t="s">
        <v>2</v>
      </c>
      <c r="D2" t="s">
        <v>37</v>
      </c>
      <c r="E2" t="s">
        <v>36</v>
      </c>
      <c r="G2" t="s">
        <v>0</v>
      </c>
      <c r="H2" t="s">
        <v>1</v>
      </c>
      <c r="I2" t="s">
        <v>2</v>
      </c>
      <c r="J2" t="s">
        <v>37</v>
      </c>
      <c r="K2" t="s">
        <v>36</v>
      </c>
      <c r="M2" s="4" t="s">
        <v>0</v>
      </c>
      <c r="N2" s="4" t="s">
        <v>1</v>
      </c>
      <c r="O2" s="4" t="s">
        <v>2</v>
      </c>
      <c r="P2" s="4" t="s">
        <v>37</v>
      </c>
      <c r="Q2" s="4" t="s">
        <v>36</v>
      </c>
      <c r="S2" t="s">
        <v>0</v>
      </c>
      <c r="T2" t="s">
        <v>1</v>
      </c>
      <c r="U2" t="s">
        <v>2</v>
      </c>
      <c r="V2" t="s">
        <v>37</v>
      </c>
      <c r="W2" t="s">
        <v>36</v>
      </c>
      <c r="Y2" t="s">
        <v>0</v>
      </c>
      <c r="Z2" t="s">
        <v>1</v>
      </c>
      <c r="AA2" t="s">
        <v>2</v>
      </c>
      <c r="AB2" t="s">
        <v>37</v>
      </c>
      <c r="AC2" t="s">
        <v>36</v>
      </c>
      <c r="AE2" t="s">
        <v>0</v>
      </c>
      <c r="AF2" t="s">
        <v>1</v>
      </c>
      <c r="AG2" t="s">
        <v>2</v>
      </c>
      <c r="AH2" t="s">
        <v>37</v>
      </c>
      <c r="AI2" t="s">
        <v>36</v>
      </c>
      <c r="AK2" t="s">
        <v>0</v>
      </c>
      <c r="AL2" t="s">
        <v>1</v>
      </c>
      <c r="AM2" t="s">
        <v>2</v>
      </c>
      <c r="AN2" t="s">
        <v>37</v>
      </c>
      <c r="AO2" t="s">
        <v>36</v>
      </c>
      <c r="AQ2" t="s">
        <v>0</v>
      </c>
      <c r="AR2" t="s">
        <v>1</v>
      </c>
      <c r="AS2" t="s">
        <v>2</v>
      </c>
      <c r="AT2" t="s">
        <v>37</v>
      </c>
      <c r="AU2" t="s">
        <v>36</v>
      </c>
      <c r="AX2" t="s">
        <v>35</v>
      </c>
      <c r="AY2" t="s">
        <v>47</v>
      </c>
      <c r="AZ2" t="s">
        <v>48</v>
      </c>
      <c r="BA2" t="s">
        <v>63</v>
      </c>
    </row>
    <row r="3" spans="1:53" x14ac:dyDescent="0.2">
      <c r="A3">
        <v>1</v>
      </c>
      <c r="B3" t="s">
        <v>3</v>
      </c>
      <c r="C3">
        <v>701</v>
      </c>
      <c r="D3" s="2">
        <v>2.0415830058489735</v>
      </c>
      <c r="E3" s="2">
        <f>C3/(2*$B$15)</f>
        <v>18.44736842105263</v>
      </c>
      <c r="G3">
        <v>1</v>
      </c>
      <c r="H3" t="s">
        <v>3</v>
      </c>
      <c r="I3">
        <v>703</v>
      </c>
      <c r="J3" s="2">
        <v>4.4370955190036652</v>
      </c>
      <c r="K3" s="2">
        <f>I3/(2*$H$15)</f>
        <v>18.5</v>
      </c>
      <c r="M3">
        <v>1</v>
      </c>
      <c r="N3" t="s">
        <v>3</v>
      </c>
      <c r="O3">
        <v>765</v>
      </c>
      <c r="P3" s="5">
        <v>6.4376409581524472</v>
      </c>
      <c r="Q3" s="5">
        <f>O3/(2*$N$15)</f>
        <v>18.214285714285715</v>
      </c>
      <c r="S3">
        <v>1</v>
      </c>
      <c r="T3" t="s">
        <v>3</v>
      </c>
      <c r="U3">
        <v>668</v>
      </c>
      <c r="V3" s="2">
        <v>9.7580758853492107</v>
      </c>
      <c r="W3" s="2">
        <f>U3/(2*$T$15)</f>
        <v>16.7</v>
      </c>
      <c r="Y3">
        <v>1</v>
      </c>
      <c r="Z3" t="s">
        <v>3</v>
      </c>
      <c r="AA3">
        <v>655</v>
      </c>
      <c r="AB3" s="2">
        <v>13.403362629519636</v>
      </c>
      <c r="AC3" s="2">
        <f>AA3/(2*$Z$15)</f>
        <v>15.595238095238095</v>
      </c>
      <c r="AE3">
        <v>1</v>
      </c>
      <c r="AF3" t="s">
        <v>3</v>
      </c>
      <c r="AG3">
        <v>739</v>
      </c>
      <c r="AH3" s="2">
        <v>9.2594164252515174</v>
      </c>
      <c r="AI3" s="2">
        <f>AG3/(2*$AF$15)</f>
        <v>17.595238095238095</v>
      </c>
      <c r="AK3">
        <v>1</v>
      </c>
      <c r="AL3" t="s">
        <v>3</v>
      </c>
      <c r="AM3">
        <v>573</v>
      </c>
      <c r="AN3" s="2">
        <v>2.3319399264155329</v>
      </c>
      <c r="AO3" s="2">
        <f>AM3/(2*$AL$15)</f>
        <v>16.852941176470587</v>
      </c>
      <c r="AQ3">
        <v>1</v>
      </c>
      <c r="AR3" t="s">
        <v>3</v>
      </c>
      <c r="AS3">
        <v>613.5</v>
      </c>
      <c r="AT3" s="2">
        <v>2.0338359980645091</v>
      </c>
      <c r="AU3" s="2">
        <f>AS3/(2*$AR$15)</f>
        <v>13.943181818181818</v>
      </c>
      <c r="AX3">
        <v>2014</v>
      </c>
      <c r="AY3" s="9">
        <v>-12.00183</v>
      </c>
      <c r="AZ3" s="9">
        <v>15.53891</v>
      </c>
      <c r="BA3" s="10">
        <v>0.97770000000000001</v>
      </c>
    </row>
    <row r="4" spans="1:53" x14ac:dyDescent="0.2">
      <c r="A4">
        <v>2</v>
      </c>
      <c r="B4" t="s">
        <v>4</v>
      </c>
      <c r="C4">
        <v>405</v>
      </c>
      <c r="D4" s="2">
        <v>1.3865205197240607</v>
      </c>
      <c r="E4" s="2">
        <f t="shared" ref="E4:E13" si="0">C4/(2*$B$15)</f>
        <v>10.657894736842104</v>
      </c>
      <c r="G4">
        <v>2</v>
      </c>
      <c r="H4" t="s">
        <v>6</v>
      </c>
      <c r="I4">
        <v>428</v>
      </c>
      <c r="J4" s="2">
        <v>2.2311117414284043</v>
      </c>
      <c r="K4" s="2">
        <f t="shared" ref="K4:K12" si="1">I4/(2*$H$15)</f>
        <v>11.263157894736842</v>
      </c>
      <c r="M4">
        <v>2</v>
      </c>
      <c r="N4" t="s">
        <v>4</v>
      </c>
      <c r="O4">
        <v>468</v>
      </c>
      <c r="P4" s="5">
        <v>2.8848112103330719</v>
      </c>
      <c r="Q4" s="5">
        <f t="shared" ref="Q4:Q13" si="2">O4/(2*$N$15)</f>
        <v>11.142857142857142</v>
      </c>
      <c r="S4">
        <v>2</v>
      </c>
      <c r="T4" t="s">
        <v>6</v>
      </c>
      <c r="U4">
        <v>522</v>
      </c>
      <c r="V4" s="2">
        <v>5.5951757984499775</v>
      </c>
      <c r="W4" s="2">
        <f t="shared" ref="W4:W12" si="3">U4/(2*$T$15)</f>
        <v>13.05</v>
      </c>
      <c r="Y4">
        <v>2</v>
      </c>
      <c r="Z4" t="s">
        <v>6</v>
      </c>
      <c r="AA4">
        <v>571</v>
      </c>
      <c r="AB4" s="2">
        <v>9.1887281159495338</v>
      </c>
      <c r="AC4" s="2">
        <f t="shared" ref="AC4:AC12" si="4">AA4/(2*$Z$15)</f>
        <v>13.595238095238095</v>
      </c>
      <c r="AE4">
        <v>2</v>
      </c>
      <c r="AF4" t="s">
        <v>6</v>
      </c>
      <c r="AG4">
        <v>504</v>
      </c>
      <c r="AH4" s="2">
        <v>4.1463242639128826</v>
      </c>
      <c r="AI4" s="2">
        <f t="shared" ref="AI4:AI12" si="5">AG4/(2*$AF$15)</f>
        <v>12</v>
      </c>
      <c r="AK4">
        <v>2</v>
      </c>
      <c r="AL4" t="s">
        <v>4</v>
      </c>
      <c r="AM4">
        <v>319</v>
      </c>
      <c r="AN4" s="2">
        <v>1.392310318473744</v>
      </c>
      <c r="AO4" s="2">
        <f t="shared" ref="AO4:AO12" si="6">AM4/(2*$AL$15)</f>
        <v>9.382352941176471</v>
      </c>
      <c r="AQ4">
        <v>2</v>
      </c>
      <c r="AR4" t="s">
        <v>4</v>
      </c>
      <c r="AS4">
        <v>585.5</v>
      </c>
      <c r="AT4" s="2">
        <v>1.9487255065670239</v>
      </c>
      <c r="AU4" s="2">
        <f t="shared" ref="AU4:AU12" si="7">AS4/(2*$AR$15)</f>
        <v>13.306818181818182</v>
      </c>
      <c r="AX4">
        <v>2015</v>
      </c>
      <c r="AY4" s="9">
        <v>-2.2894999999999999</v>
      </c>
      <c r="AZ4" s="9">
        <v>5.00136</v>
      </c>
      <c r="BA4" s="10">
        <v>0.94410000000000005</v>
      </c>
    </row>
    <row r="5" spans="1:53" x14ac:dyDescent="0.2">
      <c r="A5">
        <v>3</v>
      </c>
      <c r="B5" t="s">
        <v>5</v>
      </c>
      <c r="C5">
        <v>320</v>
      </c>
      <c r="D5" s="2">
        <v>1.2407130746189834</v>
      </c>
      <c r="E5" s="2">
        <f t="shared" si="0"/>
        <v>8.4210526315789469</v>
      </c>
      <c r="G5">
        <v>3</v>
      </c>
      <c r="H5" t="s">
        <v>5</v>
      </c>
      <c r="I5">
        <v>257</v>
      </c>
      <c r="J5" s="2">
        <v>1.4549914146182013</v>
      </c>
      <c r="K5" s="2">
        <f t="shared" si="1"/>
        <v>6.7631578947368425</v>
      </c>
      <c r="M5">
        <v>3</v>
      </c>
      <c r="N5" t="s">
        <v>6</v>
      </c>
      <c r="O5">
        <v>398</v>
      </c>
      <c r="P5" s="5">
        <v>2.3875560517507921</v>
      </c>
      <c r="Q5" s="5">
        <f t="shared" si="2"/>
        <v>9.4761904761904763</v>
      </c>
      <c r="S5">
        <v>3</v>
      </c>
      <c r="T5" t="s">
        <v>4</v>
      </c>
      <c r="U5">
        <v>368</v>
      </c>
      <c r="V5" s="2">
        <v>3.1119143867027717</v>
      </c>
      <c r="W5" s="2">
        <f t="shared" si="3"/>
        <v>9.1999999999999993</v>
      </c>
      <c r="Y5">
        <v>3</v>
      </c>
      <c r="Z5" t="s">
        <v>4</v>
      </c>
      <c r="AA5">
        <v>419</v>
      </c>
      <c r="AB5" s="2">
        <v>4.6405433499940196</v>
      </c>
      <c r="AC5" s="2">
        <f t="shared" si="4"/>
        <v>9.9761904761904763</v>
      </c>
      <c r="AE5">
        <v>3</v>
      </c>
      <c r="AF5" t="s">
        <v>4</v>
      </c>
      <c r="AG5">
        <v>417</v>
      </c>
      <c r="AH5" s="2">
        <v>3.0795587532365443</v>
      </c>
      <c r="AI5" s="2">
        <f t="shared" si="5"/>
        <v>9.9285714285714288</v>
      </c>
      <c r="AK5">
        <v>3</v>
      </c>
      <c r="AL5" t="s">
        <v>7</v>
      </c>
      <c r="AM5">
        <v>202</v>
      </c>
      <c r="AN5" s="2">
        <v>1.0979019223915107</v>
      </c>
      <c r="AO5" s="2">
        <f t="shared" si="6"/>
        <v>5.9411764705882355</v>
      </c>
      <c r="AQ5">
        <v>3</v>
      </c>
      <c r="AR5" t="s">
        <v>6</v>
      </c>
      <c r="AS5">
        <v>323.5</v>
      </c>
      <c r="AT5" s="2">
        <v>1.3062697712728319</v>
      </c>
      <c r="AU5" s="2">
        <f t="shared" si="7"/>
        <v>7.3522727272727275</v>
      </c>
      <c r="AX5">
        <v>2016</v>
      </c>
      <c r="AY5" s="9">
        <v>-1.32765</v>
      </c>
      <c r="AZ5" s="9">
        <v>3.3374799999999998</v>
      </c>
      <c r="BA5" s="10">
        <v>0.91969999999999996</v>
      </c>
    </row>
    <row r="6" spans="1:53" x14ac:dyDescent="0.2">
      <c r="A6">
        <v>4</v>
      </c>
      <c r="B6" t="s">
        <v>6</v>
      </c>
      <c r="C6">
        <v>216</v>
      </c>
      <c r="D6" s="2">
        <v>1.0830038923876744</v>
      </c>
      <c r="E6" s="2">
        <f t="shared" si="0"/>
        <v>5.6842105263157894</v>
      </c>
      <c r="G6">
        <v>4</v>
      </c>
      <c r="H6" t="s">
        <v>4</v>
      </c>
      <c r="I6">
        <v>187</v>
      </c>
      <c r="J6" s="2">
        <v>1.2214027581601699</v>
      </c>
      <c r="K6" s="2">
        <f t="shared" si="1"/>
        <v>4.9210526315789478</v>
      </c>
      <c r="M6">
        <v>4</v>
      </c>
      <c r="N6" t="s">
        <v>8</v>
      </c>
      <c r="O6">
        <v>173</v>
      </c>
      <c r="P6" s="5">
        <v>1.2997372935507561</v>
      </c>
      <c r="Q6" s="5">
        <f t="shared" si="2"/>
        <v>4.1190476190476186</v>
      </c>
      <c r="S6">
        <v>4</v>
      </c>
      <c r="T6" t="s">
        <v>8</v>
      </c>
      <c r="U6">
        <v>187</v>
      </c>
      <c r="V6" s="2">
        <v>1.5616052298658654</v>
      </c>
      <c r="W6" s="2">
        <f t="shared" si="3"/>
        <v>4.6749999999999998</v>
      </c>
      <c r="Y6">
        <v>4</v>
      </c>
      <c r="Z6" t="s">
        <v>15</v>
      </c>
      <c r="AA6">
        <v>122</v>
      </c>
      <c r="AB6" s="2">
        <v>1.2214027581601699</v>
      </c>
      <c r="AC6" s="2">
        <f t="shared" si="4"/>
        <v>2.9047619047619047</v>
      </c>
      <c r="AE6">
        <v>4</v>
      </c>
      <c r="AF6" t="s">
        <v>7</v>
      </c>
      <c r="AG6">
        <v>145</v>
      </c>
      <c r="AH6" s="2">
        <v>1.2151551873762347</v>
      </c>
      <c r="AI6" s="2">
        <f t="shared" si="5"/>
        <v>3.4523809523809526</v>
      </c>
      <c r="AK6">
        <v>4</v>
      </c>
      <c r="AL6" t="s">
        <v>17</v>
      </c>
      <c r="AM6">
        <v>195</v>
      </c>
      <c r="AN6" s="2">
        <v>1.082407597808386</v>
      </c>
      <c r="AO6" s="2">
        <f t="shared" si="6"/>
        <v>5.7352941176470589</v>
      </c>
      <c r="AQ6">
        <v>4</v>
      </c>
      <c r="AR6" t="s">
        <v>7</v>
      </c>
      <c r="AS6">
        <v>275</v>
      </c>
      <c r="AT6" s="2">
        <v>1.2130402007360832</v>
      </c>
      <c r="AU6" s="2">
        <f t="shared" si="7"/>
        <v>6.25</v>
      </c>
      <c r="AX6">
        <v>2017</v>
      </c>
      <c r="AY6" s="9">
        <v>0.190583</v>
      </c>
      <c r="AZ6" s="9">
        <v>1.90394</v>
      </c>
      <c r="BA6" s="10">
        <v>0.91679999999999995</v>
      </c>
    </row>
    <row r="7" spans="1:53" x14ac:dyDescent="0.2">
      <c r="A7">
        <v>5</v>
      </c>
      <c r="B7" t="s">
        <v>7</v>
      </c>
      <c r="C7">
        <v>181</v>
      </c>
      <c r="D7" s="2">
        <v>1.0345710828347223</v>
      </c>
      <c r="E7" s="2">
        <f t="shared" si="0"/>
        <v>4.7631578947368425</v>
      </c>
      <c r="G7">
        <v>5</v>
      </c>
      <c r="H7" t="s">
        <v>8</v>
      </c>
      <c r="I7">
        <v>136</v>
      </c>
      <c r="J7" s="2">
        <v>1.075192806090155</v>
      </c>
      <c r="K7" s="2">
        <f t="shared" si="1"/>
        <v>3.5789473684210527</v>
      </c>
      <c r="M7">
        <v>5</v>
      </c>
      <c r="N7" t="s">
        <v>5</v>
      </c>
      <c r="O7">
        <v>138</v>
      </c>
      <c r="P7" s="5">
        <v>1.1824251810791908</v>
      </c>
      <c r="Q7" s="5">
        <f t="shared" si="2"/>
        <v>3.2857142857142856</v>
      </c>
      <c r="S7">
        <v>5</v>
      </c>
      <c r="T7" t="s">
        <v>5</v>
      </c>
      <c r="U7">
        <v>83</v>
      </c>
      <c r="V7" s="2">
        <v>1.0507706102648526</v>
      </c>
      <c r="W7" s="2">
        <f t="shared" si="3"/>
        <v>2.0750000000000002</v>
      </c>
      <c r="Y7">
        <v>5</v>
      </c>
      <c r="Z7" t="s">
        <v>14</v>
      </c>
      <c r="AA7">
        <v>93</v>
      </c>
      <c r="AB7" s="2">
        <v>1.072146722565984</v>
      </c>
      <c r="AC7" s="2">
        <f t="shared" si="4"/>
        <v>2.2142857142857144</v>
      </c>
      <c r="AE7">
        <v>5</v>
      </c>
      <c r="AF7" t="s">
        <v>15</v>
      </c>
      <c r="AG7">
        <v>91</v>
      </c>
      <c r="AH7" s="2">
        <v>1.0103091875128254</v>
      </c>
      <c r="AI7" s="2">
        <f t="shared" si="5"/>
        <v>2.1666666666666665</v>
      </c>
      <c r="AK7">
        <v>5</v>
      </c>
      <c r="AL7" t="s">
        <v>15</v>
      </c>
      <c r="AM7">
        <v>181</v>
      </c>
      <c r="AN7" s="2">
        <v>1.0520718614227926</v>
      </c>
      <c r="AO7" s="2">
        <f t="shared" si="6"/>
        <v>5.3235294117647056</v>
      </c>
      <c r="AQ7">
        <v>5</v>
      </c>
      <c r="AR7" t="s">
        <v>20</v>
      </c>
      <c r="AS7">
        <v>155</v>
      </c>
      <c r="AT7" s="2">
        <v>1.0099730669607687</v>
      </c>
      <c r="AU7" s="2">
        <f t="shared" si="7"/>
        <v>3.5227272727272729</v>
      </c>
      <c r="AX7">
        <v>2018</v>
      </c>
      <c r="AY7" s="9">
        <v>0.64370400000000005</v>
      </c>
      <c r="AZ7" s="9">
        <v>1.2630399999999999</v>
      </c>
      <c r="BA7" s="10">
        <v>0.92849999999999999</v>
      </c>
    </row>
    <row r="8" spans="1:53" x14ac:dyDescent="0.2">
      <c r="A8">
        <v>6</v>
      </c>
      <c r="B8" t="s">
        <v>8</v>
      </c>
      <c r="C8">
        <v>155</v>
      </c>
      <c r="D8" s="2">
        <v>1</v>
      </c>
      <c r="E8" s="2">
        <f t="shared" si="0"/>
        <v>4.0789473684210522</v>
      </c>
      <c r="G8">
        <v>6</v>
      </c>
      <c r="H8" t="s">
        <v>10</v>
      </c>
      <c r="I8">
        <v>78</v>
      </c>
      <c r="J8" s="2">
        <v>0.93006574666027853</v>
      </c>
      <c r="K8" s="2">
        <f t="shared" si="1"/>
        <v>2.0526315789473686</v>
      </c>
      <c r="M8">
        <v>6</v>
      </c>
      <c r="N8" t="s">
        <v>7</v>
      </c>
      <c r="O8">
        <v>76</v>
      </c>
      <c r="P8" s="5">
        <v>1</v>
      </c>
      <c r="Q8" s="5">
        <f t="shared" si="2"/>
        <v>1.8095238095238095</v>
      </c>
      <c r="S8">
        <v>6</v>
      </c>
      <c r="T8" t="s">
        <v>15</v>
      </c>
      <c r="U8">
        <v>57</v>
      </c>
      <c r="V8" s="2">
        <v>0.95168249875959543</v>
      </c>
      <c r="W8" s="2">
        <f t="shared" si="3"/>
        <v>1.425</v>
      </c>
      <c r="Y8">
        <v>6</v>
      </c>
      <c r="Z8" t="s">
        <v>7</v>
      </c>
      <c r="AA8">
        <v>62</v>
      </c>
      <c r="AB8" s="2">
        <v>0.93270816293378755</v>
      </c>
      <c r="AC8" s="2">
        <f t="shared" si="4"/>
        <v>1.4761904761904763</v>
      </c>
      <c r="AE8">
        <v>6</v>
      </c>
      <c r="AF8" t="s">
        <v>9</v>
      </c>
      <c r="AG8">
        <v>85</v>
      </c>
      <c r="AH8" s="2">
        <v>0.98979600736067286</v>
      </c>
      <c r="AI8" s="2">
        <f t="shared" si="5"/>
        <v>2.0238095238095237</v>
      </c>
      <c r="AK8">
        <v>6</v>
      </c>
      <c r="AL8" t="s">
        <v>6</v>
      </c>
      <c r="AM8">
        <v>131</v>
      </c>
      <c r="AN8" s="2">
        <v>0.95050541381044817</v>
      </c>
      <c r="AO8" s="2">
        <f t="shared" si="6"/>
        <v>3.8529411764705883</v>
      </c>
      <c r="AQ8">
        <v>6</v>
      </c>
      <c r="AR8" t="s">
        <v>19</v>
      </c>
      <c r="AS8">
        <v>142</v>
      </c>
      <c r="AT8" s="2">
        <v>0.99012541295702095</v>
      </c>
      <c r="AU8" s="2">
        <f t="shared" si="7"/>
        <v>3.2272727272727271</v>
      </c>
      <c r="AX8">
        <v>2019</v>
      </c>
      <c r="AY8" s="9">
        <v>0.24437600000000001</v>
      </c>
      <c r="AZ8" s="9">
        <v>2.0993300000000001</v>
      </c>
      <c r="BA8" s="10">
        <v>0.90500000000000003</v>
      </c>
    </row>
    <row r="9" spans="1:53" x14ac:dyDescent="0.2">
      <c r="A9">
        <v>7</v>
      </c>
      <c r="B9" t="s">
        <v>9</v>
      </c>
      <c r="C9">
        <v>30</v>
      </c>
      <c r="D9" s="2">
        <v>0.84925253003075873</v>
      </c>
      <c r="E9" s="2">
        <f t="shared" si="0"/>
        <v>0.78947368421052633</v>
      </c>
      <c r="G9">
        <v>7</v>
      </c>
      <c r="H9" t="s">
        <v>9</v>
      </c>
      <c r="I9">
        <v>67</v>
      </c>
      <c r="J9" s="2">
        <v>0.90483741803595952</v>
      </c>
      <c r="K9" s="2">
        <f t="shared" si="1"/>
        <v>1.763157894736842</v>
      </c>
      <c r="M9">
        <v>7</v>
      </c>
      <c r="N9" t="s">
        <v>9</v>
      </c>
      <c r="O9">
        <v>63</v>
      </c>
      <c r="P9" s="5">
        <v>0.96547493785546012</v>
      </c>
      <c r="Q9" s="5">
        <f t="shared" si="2"/>
        <v>1.5</v>
      </c>
      <c r="S9">
        <v>7</v>
      </c>
      <c r="T9" t="s">
        <v>9</v>
      </c>
      <c r="U9">
        <v>53</v>
      </c>
      <c r="V9" s="2">
        <v>0.9372906012411848</v>
      </c>
      <c r="W9" s="2">
        <f t="shared" si="3"/>
        <v>1.325</v>
      </c>
      <c r="Y9">
        <v>7</v>
      </c>
      <c r="Z9" t="s">
        <v>8</v>
      </c>
      <c r="AA9">
        <v>52</v>
      </c>
      <c r="AB9" s="2">
        <v>0.8917167500893346</v>
      </c>
      <c r="AC9" s="2">
        <f t="shared" si="4"/>
        <v>1.2380952380952381</v>
      </c>
      <c r="AE9">
        <v>7</v>
      </c>
      <c r="AF9" t="s">
        <v>17</v>
      </c>
      <c r="AG9">
        <v>73</v>
      </c>
      <c r="AH9" s="2">
        <v>0.95001068101026809</v>
      </c>
      <c r="AI9" s="2">
        <f t="shared" si="5"/>
        <v>1.7380952380952381</v>
      </c>
      <c r="AK9">
        <v>7</v>
      </c>
      <c r="AL9" t="s">
        <v>19</v>
      </c>
      <c r="AM9">
        <v>107</v>
      </c>
      <c r="AN9" s="2">
        <v>0.90529684296543489</v>
      </c>
      <c r="AO9" s="2">
        <f t="shared" si="6"/>
        <v>3.1470588235294117</v>
      </c>
      <c r="AQ9">
        <v>7</v>
      </c>
      <c r="AR9" t="s">
        <v>21</v>
      </c>
      <c r="AS9">
        <v>77</v>
      </c>
      <c r="AT9" s="2">
        <v>0.89658667834200645</v>
      </c>
      <c r="AU9" s="2">
        <f t="shared" si="7"/>
        <v>1.75</v>
      </c>
      <c r="AX9">
        <v>2020</v>
      </c>
      <c r="AY9" s="9">
        <v>-6.5322500000000003</v>
      </c>
      <c r="AZ9" s="9">
        <v>10.5212</v>
      </c>
      <c r="BA9" s="10">
        <v>0.9627</v>
      </c>
    </row>
    <row r="10" spans="1:53" x14ac:dyDescent="0.2">
      <c r="A10">
        <v>8</v>
      </c>
      <c r="B10" t="s">
        <v>10</v>
      </c>
      <c r="C10">
        <v>10</v>
      </c>
      <c r="D10" s="2">
        <v>0.82733756782278611</v>
      </c>
      <c r="E10" s="2">
        <f t="shared" si="0"/>
        <v>0.26315789473684209</v>
      </c>
      <c r="G10">
        <v>8</v>
      </c>
      <c r="H10" t="s">
        <v>12</v>
      </c>
      <c r="I10">
        <v>36</v>
      </c>
      <c r="J10" s="2">
        <v>0.83736099933575392</v>
      </c>
      <c r="K10" s="2">
        <f t="shared" si="1"/>
        <v>0.94736842105263153</v>
      </c>
      <c r="M10">
        <v>8</v>
      </c>
      <c r="N10" t="s">
        <v>14</v>
      </c>
      <c r="O10">
        <v>29</v>
      </c>
      <c r="P10" s="5">
        <v>0.88070986930605155</v>
      </c>
      <c r="Q10" s="5">
        <f t="shared" si="2"/>
        <v>0.69047619047619047</v>
      </c>
      <c r="S10">
        <v>8</v>
      </c>
      <c r="T10" t="s">
        <v>14</v>
      </c>
      <c r="U10">
        <v>47</v>
      </c>
      <c r="V10" s="2">
        <v>0.91610980446790413</v>
      </c>
      <c r="W10" s="2">
        <f t="shared" si="3"/>
        <v>1.175</v>
      </c>
      <c r="Y10">
        <v>8</v>
      </c>
      <c r="Z10" t="s">
        <v>12</v>
      </c>
      <c r="AA10">
        <v>48</v>
      </c>
      <c r="AB10" s="2">
        <v>0.87582912517116496</v>
      </c>
      <c r="AC10" s="2">
        <f t="shared" si="4"/>
        <v>1.1428571428571428</v>
      </c>
      <c r="AE10">
        <v>8</v>
      </c>
      <c r="AF10" t="s">
        <v>18</v>
      </c>
      <c r="AG10">
        <v>57</v>
      </c>
      <c r="AH10" s="2">
        <v>0.89944002298764214</v>
      </c>
      <c r="AI10" s="2">
        <f t="shared" si="5"/>
        <v>1.3571428571428572</v>
      </c>
      <c r="AK10">
        <v>8</v>
      </c>
      <c r="AL10" t="s">
        <v>18</v>
      </c>
      <c r="AM10">
        <v>8</v>
      </c>
      <c r="AN10" s="2">
        <v>0.74044226625148268</v>
      </c>
      <c r="AO10" s="2">
        <f t="shared" si="6"/>
        <v>0.23529411764705882</v>
      </c>
      <c r="AQ10">
        <v>8</v>
      </c>
      <c r="AR10" t="s">
        <v>5</v>
      </c>
      <c r="AS10">
        <v>23</v>
      </c>
      <c r="AT10" s="2">
        <v>0.82563453624709904</v>
      </c>
      <c r="AU10" s="2">
        <f t="shared" si="7"/>
        <v>0.52272727272727271</v>
      </c>
      <c r="AX10">
        <v>2021</v>
      </c>
      <c r="AY10" s="9">
        <v>-8.1984399999999997</v>
      </c>
      <c r="AZ10" s="9">
        <v>11.166399999999999</v>
      </c>
      <c r="BA10" s="10">
        <v>0.98509999999999998</v>
      </c>
    </row>
    <row r="11" spans="1:53" x14ac:dyDescent="0.2">
      <c r="A11">
        <v>9</v>
      </c>
      <c r="B11" t="s">
        <v>11</v>
      </c>
      <c r="C11">
        <v>2</v>
      </c>
      <c r="D11" s="2">
        <v>0.81873075307798182</v>
      </c>
      <c r="E11" s="2">
        <f t="shared" si="0"/>
        <v>5.2631578947368418E-2</v>
      </c>
      <c r="G11">
        <v>9</v>
      </c>
      <c r="H11" t="s">
        <v>7</v>
      </c>
      <c r="I11">
        <v>27</v>
      </c>
      <c r="J11" s="2">
        <v>0.81873075307798182</v>
      </c>
      <c r="K11" s="2">
        <f t="shared" si="1"/>
        <v>0.71052631578947367</v>
      </c>
      <c r="M11">
        <v>9</v>
      </c>
      <c r="N11" t="s">
        <v>15</v>
      </c>
      <c r="O11">
        <v>8</v>
      </c>
      <c r="P11" s="5">
        <v>0.832115701285983</v>
      </c>
      <c r="Q11" s="5">
        <f t="shared" si="2"/>
        <v>0.19047619047619047</v>
      </c>
      <c r="S11">
        <v>9</v>
      </c>
      <c r="T11" t="s">
        <v>7</v>
      </c>
      <c r="U11">
        <v>30</v>
      </c>
      <c r="V11" s="2">
        <v>0.85866110943266616</v>
      </c>
      <c r="W11" s="2">
        <f t="shared" si="3"/>
        <v>0.75</v>
      </c>
      <c r="Y11">
        <v>9</v>
      </c>
      <c r="Z11" t="s">
        <v>9</v>
      </c>
      <c r="AA11">
        <v>33</v>
      </c>
      <c r="AB11" s="2">
        <v>0.81873075307798182</v>
      </c>
      <c r="AC11" s="2">
        <f t="shared" si="4"/>
        <v>0.7857142857142857</v>
      </c>
      <c r="AE11">
        <v>9</v>
      </c>
      <c r="AF11" t="s">
        <v>14</v>
      </c>
      <c r="AG11">
        <v>28</v>
      </c>
      <c r="AH11" s="2">
        <v>0.81454288114248363</v>
      </c>
      <c r="AI11" s="2">
        <f t="shared" si="5"/>
        <v>0.66666666666666663</v>
      </c>
      <c r="AK11">
        <v>9</v>
      </c>
      <c r="AL11" t="s">
        <v>14</v>
      </c>
      <c r="AM11">
        <v>3</v>
      </c>
      <c r="AN11" s="2">
        <v>0.73296311535528547</v>
      </c>
      <c r="AO11" s="2">
        <f t="shared" si="6"/>
        <v>8.8235294117647065E-2</v>
      </c>
      <c r="AQ11">
        <v>9</v>
      </c>
      <c r="AR11" t="s">
        <v>18</v>
      </c>
      <c r="AS11">
        <v>13</v>
      </c>
      <c r="AT11" s="2">
        <v>0.81312516320049233</v>
      </c>
      <c r="AU11" s="2">
        <f t="shared" si="7"/>
        <v>0.29545454545454547</v>
      </c>
    </row>
    <row r="12" spans="1:53" x14ac:dyDescent="0.2">
      <c r="A12">
        <v>10</v>
      </c>
      <c r="B12" t="s">
        <v>12</v>
      </c>
      <c r="C12">
        <v>0</v>
      </c>
      <c r="D12" s="2">
        <v>0.81659307608750353</v>
      </c>
      <c r="E12" s="2">
        <f t="shared" si="0"/>
        <v>0</v>
      </c>
      <c r="G12">
        <v>10</v>
      </c>
      <c r="H12" t="s">
        <v>11</v>
      </c>
      <c r="I12">
        <v>0</v>
      </c>
      <c r="J12" s="2">
        <v>0.7652903306228257</v>
      </c>
      <c r="K12" s="2">
        <f t="shared" si="1"/>
        <v>0</v>
      </c>
      <c r="M12">
        <v>10</v>
      </c>
      <c r="N12" t="s">
        <v>12</v>
      </c>
      <c r="O12">
        <v>2</v>
      </c>
      <c r="P12" s="5">
        <v>0.81873075307798182</v>
      </c>
      <c r="Q12" s="5">
        <f t="shared" si="2"/>
        <v>4.7619047619047616E-2</v>
      </c>
      <c r="S12">
        <v>10</v>
      </c>
      <c r="T12" t="s">
        <v>12</v>
      </c>
      <c r="U12">
        <v>5</v>
      </c>
      <c r="V12" s="2">
        <v>0.78065727988837486</v>
      </c>
      <c r="W12" s="2">
        <f t="shared" si="3"/>
        <v>0.125</v>
      </c>
      <c r="Y12">
        <v>10</v>
      </c>
      <c r="Z12" t="s">
        <v>5</v>
      </c>
      <c r="AA12">
        <v>7</v>
      </c>
      <c r="AB12" s="2">
        <v>0.72843714828699768</v>
      </c>
      <c r="AC12" s="2">
        <f t="shared" si="4"/>
        <v>0.16666666666666666</v>
      </c>
      <c r="AE12">
        <v>10</v>
      </c>
      <c r="AF12" t="s">
        <v>5</v>
      </c>
      <c r="AG12">
        <v>1</v>
      </c>
      <c r="AH12" s="2">
        <v>0.74272019196356032</v>
      </c>
      <c r="AI12" s="2">
        <f t="shared" si="5"/>
        <v>2.3809523809523808E-2</v>
      </c>
      <c r="AK12">
        <v>10</v>
      </c>
      <c r="AL12" t="s">
        <v>5</v>
      </c>
      <c r="AM12">
        <v>0</v>
      </c>
      <c r="AN12" s="2">
        <v>0.72851193606859632</v>
      </c>
      <c r="AO12" s="2">
        <f t="shared" si="6"/>
        <v>0</v>
      </c>
      <c r="AQ12">
        <v>10</v>
      </c>
      <c r="AR12" t="s">
        <v>14</v>
      </c>
      <c r="AS12">
        <v>0</v>
      </c>
      <c r="AT12" s="2">
        <v>0.79714589857563556</v>
      </c>
      <c r="AU12" s="2">
        <f t="shared" si="7"/>
        <v>0</v>
      </c>
    </row>
    <row r="13" spans="1:53" x14ac:dyDescent="0.2">
      <c r="A13">
        <v>11</v>
      </c>
      <c r="B13" t="s">
        <v>13</v>
      </c>
      <c r="C13">
        <v>0</v>
      </c>
      <c r="D13" s="2">
        <v>0.81659307608750353</v>
      </c>
      <c r="E13" s="2">
        <f t="shared" si="0"/>
        <v>0</v>
      </c>
      <c r="J13" s="2"/>
      <c r="K13" s="2"/>
      <c r="M13">
        <v>11</v>
      </c>
      <c r="N13" t="s">
        <v>16</v>
      </c>
      <c r="O13">
        <v>1</v>
      </c>
      <c r="P13" s="5">
        <v>0.81652095481785836</v>
      </c>
      <c r="Q13" s="5">
        <f t="shared" si="2"/>
        <v>2.3809523809523808E-2</v>
      </c>
      <c r="S13" s="4"/>
      <c r="T13" s="4"/>
      <c r="U13" s="4"/>
      <c r="V13" s="5"/>
      <c r="W13" s="5"/>
    </row>
    <row r="14" spans="1:53" x14ac:dyDescent="0.2">
      <c r="S14" s="4"/>
      <c r="T14" s="4"/>
      <c r="U14" s="4"/>
      <c r="V14" s="5"/>
      <c r="W14" s="5"/>
    </row>
    <row r="15" spans="1:53" x14ac:dyDescent="0.2">
      <c r="A15" t="s">
        <v>38</v>
      </c>
      <c r="B15">
        <v>19</v>
      </c>
      <c r="G15" t="s">
        <v>38</v>
      </c>
      <c r="H15">
        <v>19</v>
      </c>
      <c r="M15" t="s">
        <v>38</v>
      </c>
      <c r="N15">
        <v>21</v>
      </c>
      <c r="S15" t="s">
        <v>38</v>
      </c>
      <c r="T15">
        <v>20</v>
      </c>
      <c r="Y15" t="s">
        <v>38</v>
      </c>
      <c r="Z15">
        <v>21</v>
      </c>
      <c r="AE15" t="s">
        <v>38</v>
      </c>
      <c r="AF15">
        <v>21</v>
      </c>
      <c r="AK15" t="s">
        <v>38</v>
      </c>
      <c r="AL15">
        <v>17</v>
      </c>
      <c r="AQ15" t="s">
        <v>38</v>
      </c>
      <c r="AR15">
        <v>22</v>
      </c>
    </row>
    <row r="16" spans="1:53" x14ac:dyDescent="0.2">
      <c r="D16" t="s">
        <v>48</v>
      </c>
      <c r="E16" t="s">
        <v>47</v>
      </c>
      <c r="J16" t="s">
        <v>48</v>
      </c>
      <c r="K16" t="s">
        <v>47</v>
      </c>
      <c r="P16" t="s">
        <v>48</v>
      </c>
      <c r="Q16" t="s">
        <v>47</v>
      </c>
      <c r="V16" t="s">
        <v>48</v>
      </c>
      <c r="W16" t="s">
        <v>47</v>
      </c>
      <c r="AB16" t="s">
        <v>48</v>
      </c>
      <c r="AC16" t="s">
        <v>47</v>
      </c>
      <c r="AH16" t="s">
        <v>48</v>
      </c>
      <c r="AI16" t="s">
        <v>47</v>
      </c>
      <c r="AN16" t="s">
        <v>48</v>
      </c>
      <c r="AO16" t="s">
        <v>47</v>
      </c>
      <c r="AT16" t="s">
        <v>48</v>
      </c>
      <c r="AU16" t="s">
        <v>47</v>
      </c>
    </row>
    <row r="17" spans="1:47" x14ac:dyDescent="0.2">
      <c r="A17" s="4" t="s">
        <v>39</v>
      </c>
      <c r="D17">
        <v>15.53891</v>
      </c>
      <c r="E17">
        <v>-12.00183</v>
      </c>
      <c r="G17" s="4" t="s">
        <v>40</v>
      </c>
      <c r="J17">
        <v>5.00136</v>
      </c>
      <c r="K17">
        <v>-2.2894999999999999</v>
      </c>
      <c r="M17" t="s">
        <v>41</v>
      </c>
      <c r="P17">
        <v>3.3374799999999998</v>
      </c>
      <c r="Q17">
        <v>-1.32765</v>
      </c>
      <c r="S17" t="s">
        <v>42</v>
      </c>
      <c r="V17">
        <v>1.90394</v>
      </c>
      <c r="W17">
        <v>0.190583</v>
      </c>
      <c r="Y17" t="s">
        <v>43</v>
      </c>
      <c r="AB17">
        <v>1.2630399999999999</v>
      </c>
      <c r="AC17">
        <v>0.64370400000000005</v>
      </c>
      <c r="AE17" t="s">
        <v>44</v>
      </c>
      <c r="AH17">
        <v>2.0993300000000001</v>
      </c>
      <c r="AI17">
        <v>0.24437600000000001</v>
      </c>
      <c r="AK17" t="s">
        <v>45</v>
      </c>
      <c r="AN17">
        <v>10.5212</v>
      </c>
      <c r="AO17">
        <v>-6.5322500000000003</v>
      </c>
      <c r="AQ17" t="s">
        <v>46</v>
      </c>
      <c r="AT17">
        <v>11.166399999999999</v>
      </c>
      <c r="AU17">
        <v>-8.1984399999999997</v>
      </c>
    </row>
    <row r="19" spans="1:47" x14ac:dyDescent="0.2">
      <c r="A19" t="s">
        <v>51</v>
      </c>
      <c r="G19" t="s">
        <v>51</v>
      </c>
      <c r="M19" t="s">
        <v>51</v>
      </c>
      <c r="S19" t="s">
        <v>51</v>
      </c>
      <c r="Y19" t="s">
        <v>51</v>
      </c>
      <c r="AE19" t="s">
        <v>51</v>
      </c>
      <c r="AK19" t="s">
        <v>51</v>
      </c>
      <c r="AQ19" t="s">
        <v>51</v>
      </c>
    </row>
    <row r="20" spans="1:47" x14ac:dyDescent="0.2">
      <c r="A20" t="s">
        <v>3</v>
      </c>
      <c r="B20" s="3">
        <f>($D$17*D3)+$E$17</f>
        <v>19.722144585416672</v>
      </c>
      <c r="G20" t="s">
        <v>3</v>
      </c>
      <c r="H20" s="3">
        <f>($J$17*J3)+$K$17</f>
        <v>19.90201204492417</v>
      </c>
      <c r="M20" t="s">
        <v>3</v>
      </c>
      <c r="N20" s="3">
        <f>($P$17*P3)+$Q$17</f>
        <v>20.15784794501463</v>
      </c>
      <c r="S20" t="s">
        <v>3</v>
      </c>
      <c r="T20" s="3">
        <f>($V$17*V3)+$W$17</f>
        <v>18.769374001151775</v>
      </c>
      <c r="Y20" t="s">
        <v>3</v>
      </c>
      <c r="Z20" s="3">
        <f>($AB$17*AB3)+$AC$17</f>
        <v>17.572687135588481</v>
      </c>
      <c r="AE20" t="s">
        <v>3</v>
      </c>
      <c r="AF20" s="3">
        <f>($AH$17*AH3)+$AI$17</f>
        <v>19.682946684023268</v>
      </c>
      <c r="AK20" t="s">
        <v>3</v>
      </c>
      <c r="AL20" s="3">
        <f>($AN$17*AN3)+$AO$17</f>
        <v>18.002556353803104</v>
      </c>
      <c r="AQ20" t="s">
        <v>3</v>
      </c>
      <c r="AR20" s="3">
        <f>($AT$17*AT3)+$AU$17</f>
        <v>14.512186288787534</v>
      </c>
    </row>
    <row r="21" spans="1:47" x14ac:dyDescent="0.2">
      <c r="A21" t="s">
        <v>4</v>
      </c>
      <c r="B21" s="3">
        <f t="shared" ref="B21:B30" si="8">($D$17*D4)+$E$17</f>
        <v>9.5431875691454042</v>
      </c>
      <c r="G21" t="s">
        <v>6</v>
      </c>
      <c r="H21" s="3">
        <f t="shared" ref="H21:H29" si="9">($J$17*J4)+$K$17</f>
        <v>8.8690930191103643</v>
      </c>
      <c r="M21" t="s">
        <v>4</v>
      </c>
      <c r="N21" s="3">
        <f t="shared" ref="N21:N30" si="10">($P$17*P4)+$Q$17</f>
        <v>8.3003497182624191</v>
      </c>
      <c r="S21" t="s">
        <v>6</v>
      </c>
      <c r="T21" s="3">
        <f t="shared" ref="T21:T29" si="11">($V$17*V4)+$W$17</f>
        <v>10.843462009700851</v>
      </c>
      <c r="Y21" t="s">
        <v>6</v>
      </c>
      <c r="Z21" s="3">
        <f t="shared" ref="Z21:Z29" si="12">($AB$17*AB4)+$AC$17</f>
        <v>12.249435159568899</v>
      </c>
      <c r="AE21" t="s">
        <v>6</v>
      </c>
      <c r="AF21" s="3">
        <f t="shared" ref="AF21:AF29" si="13">($AH$17*AH4)+$AI$17</f>
        <v>8.9488789169602327</v>
      </c>
      <c r="AK21" t="s">
        <v>4</v>
      </c>
      <c r="AL21" s="3">
        <f t="shared" ref="AL21:AL29" si="14">($AN$17*AN4)+$AO$17</f>
        <v>8.1165253227259555</v>
      </c>
      <c r="AQ21" t="s">
        <v>4</v>
      </c>
      <c r="AR21" s="3">
        <f t="shared" ref="AR21:AR29" si="15">($AT$17*AT4)+$AU$17</f>
        <v>13.561808496530015</v>
      </c>
    </row>
    <row r="22" spans="1:47" x14ac:dyDescent="0.2">
      <c r="A22" t="s">
        <v>5</v>
      </c>
      <c r="B22" s="3">
        <f t="shared" si="8"/>
        <v>7.2774988023276652</v>
      </c>
      <c r="G22" t="s">
        <v>5</v>
      </c>
      <c r="H22" s="3">
        <f t="shared" si="9"/>
        <v>4.9874358614148875</v>
      </c>
      <c r="M22" t="s">
        <v>6</v>
      </c>
      <c r="N22" s="3">
        <f t="shared" si="10"/>
        <v>6.6407705715972325</v>
      </c>
      <c r="S22" t="s">
        <v>4</v>
      </c>
      <c r="T22" s="3">
        <f t="shared" si="11"/>
        <v>6.1154812774188754</v>
      </c>
      <c r="Y22" t="s">
        <v>4</v>
      </c>
      <c r="Z22" s="3">
        <f t="shared" si="12"/>
        <v>6.5048958727764461</v>
      </c>
      <c r="AE22" t="s">
        <v>4</v>
      </c>
      <c r="AF22" s="3">
        <f t="shared" si="13"/>
        <v>6.7093860774320753</v>
      </c>
      <c r="AK22" t="s">
        <v>7</v>
      </c>
      <c r="AL22" s="3">
        <f t="shared" si="14"/>
        <v>5.0189957058655628</v>
      </c>
      <c r="AQ22" t="s">
        <v>6</v>
      </c>
      <c r="AR22" s="3">
        <f t="shared" si="15"/>
        <v>6.387890773940951</v>
      </c>
    </row>
    <row r="23" spans="1:47" x14ac:dyDescent="0.2">
      <c r="A23" t="s">
        <v>6</v>
      </c>
      <c r="B23" s="3">
        <f t="shared" si="8"/>
        <v>4.8268700134617557</v>
      </c>
      <c r="G23" t="s">
        <v>4</v>
      </c>
      <c r="H23" s="3">
        <f t="shared" si="9"/>
        <v>3.8191748985519474</v>
      </c>
      <c r="M23" t="s">
        <v>8</v>
      </c>
      <c r="N23" s="3">
        <f t="shared" si="10"/>
        <v>3.0101972224797766</v>
      </c>
      <c r="S23" t="s">
        <v>8</v>
      </c>
      <c r="T23" s="3">
        <f t="shared" si="11"/>
        <v>3.1637856613508157</v>
      </c>
      <c r="Y23" t="s">
        <v>15</v>
      </c>
      <c r="Z23" s="3">
        <f t="shared" si="12"/>
        <v>2.1863845396666211</v>
      </c>
      <c r="AE23" t="s">
        <v>7</v>
      </c>
      <c r="AF23" s="3">
        <f t="shared" si="13"/>
        <v>2.7953877395145508</v>
      </c>
      <c r="AK23" t="s">
        <v>17</v>
      </c>
      <c r="AL23" s="3">
        <f t="shared" si="14"/>
        <v>4.855976818061591</v>
      </c>
      <c r="AQ23" t="s">
        <v>7</v>
      </c>
      <c r="AR23" s="3">
        <f t="shared" si="15"/>
        <v>5.3468520974993989</v>
      </c>
    </row>
    <row r="24" spans="1:47" x14ac:dyDescent="0.2">
      <c r="A24" t="s">
        <v>7</v>
      </c>
      <c r="B24" s="3">
        <f t="shared" si="8"/>
        <v>4.0742769447712934</v>
      </c>
      <c r="G24" t="s">
        <v>8</v>
      </c>
      <c r="H24" s="3">
        <f t="shared" si="9"/>
        <v>3.0879262926670576</v>
      </c>
      <c r="M24" t="s">
        <v>5</v>
      </c>
      <c r="N24" s="3">
        <f t="shared" si="10"/>
        <v>2.6186703933481779</v>
      </c>
      <c r="S24" t="s">
        <v>5</v>
      </c>
      <c r="T24" s="3">
        <f t="shared" si="11"/>
        <v>2.1911871957076636</v>
      </c>
      <c r="Y24" t="s">
        <v>14</v>
      </c>
      <c r="Z24" s="3">
        <f t="shared" si="12"/>
        <v>1.9978681964697405</v>
      </c>
      <c r="AE24" t="s">
        <v>15</v>
      </c>
      <c r="AF24" s="3">
        <f t="shared" si="13"/>
        <v>2.3653483866212999</v>
      </c>
      <c r="AK24" t="s">
        <v>15</v>
      </c>
      <c r="AL24" s="3">
        <f t="shared" si="14"/>
        <v>4.5368084684014862</v>
      </c>
      <c r="AQ24" t="s">
        <v>20</v>
      </c>
      <c r="AR24" s="3">
        <f t="shared" si="15"/>
        <v>3.0793232549107277</v>
      </c>
    </row>
    <row r="25" spans="1:47" x14ac:dyDescent="0.2">
      <c r="A25" t="s">
        <v>8</v>
      </c>
      <c r="B25" s="3">
        <f t="shared" si="8"/>
        <v>3.5370799999999996</v>
      </c>
      <c r="G25" t="s">
        <v>10</v>
      </c>
      <c r="H25" s="3">
        <f t="shared" si="9"/>
        <v>2.3620936227168507</v>
      </c>
      <c r="M25" t="s">
        <v>7</v>
      </c>
      <c r="N25" s="3">
        <f t="shared" si="10"/>
        <v>2.00983</v>
      </c>
      <c r="S25" t="s">
        <v>15</v>
      </c>
      <c r="T25" s="3">
        <f t="shared" si="11"/>
        <v>2.0025293766883441</v>
      </c>
      <c r="Y25" t="s">
        <v>7</v>
      </c>
      <c r="Z25" s="3">
        <f t="shared" si="12"/>
        <v>1.821751718111891</v>
      </c>
      <c r="AE25" t="s">
        <v>9</v>
      </c>
      <c r="AF25" s="3">
        <f t="shared" si="13"/>
        <v>2.3222844521324815</v>
      </c>
      <c r="AK25" t="s">
        <v>6</v>
      </c>
      <c r="AL25" s="3">
        <f t="shared" si="14"/>
        <v>3.4682075597824875</v>
      </c>
      <c r="AQ25" t="s">
        <v>19</v>
      </c>
      <c r="AR25" s="3">
        <f t="shared" si="15"/>
        <v>2.8576964112432783</v>
      </c>
    </row>
    <row r="26" spans="1:47" x14ac:dyDescent="0.2">
      <c r="A26" t="s">
        <v>9</v>
      </c>
      <c r="B26" s="3">
        <f t="shared" si="8"/>
        <v>1.1946286314202563</v>
      </c>
      <c r="G26" t="s">
        <v>9</v>
      </c>
      <c r="H26" s="3">
        <f t="shared" si="9"/>
        <v>2.2359176690683262</v>
      </c>
      <c r="M26" t="s">
        <v>9</v>
      </c>
      <c r="N26" s="3">
        <f t="shared" si="10"/>
        <v>1.8946032955938408</v>
      </c>
      <c r="S26" t="s">
        <v>9</v>
      </c>
      <c r="T26" s="3">
        <f t="shared" si="11"/>
        <v>1.9751280673271412</v>
      </c>
      <c r="Y26" t="s">
        <v>8</v>
      </c>
      <c r="Z26" s="3">
        <f t="shared" si="12"/>
        <v>1.7699779240328333</v>
      </c>
      <c r="AE26" t="s">
        <v>17</v>
      </c>
      <c r="AF26" s="3">
        <f t="shared" si="13"/>
        <v>2.2387619229652862</v>
      </c>
      <c r="AK26" t="s">
        <v>19</v>
      </c>
      <c r="AL26" s="3">
        <f t="shared" si="14"/>
        <v>2.9925591442079336</v>
      </c>
      <c r="AQ26" t="s">
        <v>21</v>
      </c>
      <c r="AR26" s="3">
        <f t="shared" si="15"/>
        <v>1.8132054850381802</v>
      </c>
    </row>
    <row r="27" spans="1:47" x14ac:dyDescent="0.2">
      <c r="A27" t="s">
        <v>10</v>
      </c>
      <c r="B27" s="3">
        <f t="shared" si="8"/>
        <v>0.85409400601716889</v>
      </c>
      <c r="G27" t="s">
        <v>12</v>
      </c>
      <c r="H27" s="3">
        <f t="shared" si="9"/>
        <v>1.8984438076378667</v>
      </c>
      <c r="M27" t="s">
        <v>14</v>
      </c>
      <c r="N27" s="3">
        <f t="shared" si="10"/>
        <v>1.6117015746115608</v>
      </c>
      <c r="S27" t="s">
        <v>14</v>
      </c>
      <c r="T27" s="3">
        <f t="shared" si="11"/>
        <v>1.9348011011186212</v>
      </c>
      <c r="Y27" t="s">
        <v>12</v>
      </c>
      <c r="Z27" s="3">
        <f t="shared" si="12"/>
        <v>1.7499112182561882</v>
      </c>
      <c r="AE27" t="s">
        <v>18</v>
      </c>
      <c r="AF27" s="3">
        <f t="shared" si="13"/>
        <v>2.1325974234586469</v>
      </c>
      <c r="AK27" t="s">
        <v>18</v>
      </c>
      <c r="AL27" s="3">
        <f t="shared" si="14"/>
        <v>1.2580911716850993</v>
      </c>
      <c r="AQ27" t="s">
        <v>5</v>
      </c>
      <c r="AR27" s="3">
        <f t="shared" si="15"/>
        <v>1.0209254855496059</v>
      </c>
    </row>
    <row r="28" spans="1:47" x14ac:dyDescent="0.2">
      <c r="A28" t="s">
        <v>11</v>
      </c>
      <c r="B28" s="3">
        <f t="shared" si="8"/>
        <v>0.72035348631098195</v>
      </c>
      <c r="G28" t="s">
        <v>7</v>
      </c>
      <c r="H28" s="3">
        <f t="shared" si="9"/>
        <v>1.8052672392140949</v>
      </c>
      <c r="M28" t="s">
        <v>15</v>
      </c>
      <c r="N28" s="3">
        <f t="shared" si="10"/>
        <v>1.4495195107279424</v>
      </c>
      <c r="S28" t="s">
        <v>7</v>
      </c>
      <c r="T28" s="3">
        <f t="shared" si="11"/>
        <v>1.8254222326932303</v>
      </c>
      <c r="Y28" t="s">
        <v>9</v>
      </c>
      <c r="Z28" s="3">
        <f t="shared" si="12"/>
        <v>1.6777936903676141</v>
      </c>
      <c r="AE28" t="s">
        <v>14</v>
      </c>
      <c r="AF28" s="3">
        <f t="shared" si="13"/>
        <v>1.9543703066688503</v>
      </c>
      <c r="AK28" t="s">
        <v>14</v>
      </c>
      <c r="AL28" s="3">
        <f t="shared" si="14"/>
        <v>1.1794015292760296</v>
      </c>
      <c r="AQ28" t="s">
        <v>18</v>
      </c>
      <c r="AR28" s="3">
        <f t="shared" si="15"/>
        <v>0.88124082236197765</v>
      </c>
    </row>
    <row r="29" spans="1:47" x14ac:dyDescent="0.2">
      <c r="A29" t="s">
        <v>12</v>
      </c>
      <c r="B29" s="3">
        <f t="shared" si="8"/>
        <v>0.6871363159468693</v>
      </c>
      <c r="G29" t="s">
        <v>11</v>
      </c>
      <c r="H29" s="3">
        <f t="shared" si="9"/>
        <v>1.5379924479637759</v>
      </c>
      <c r="M29" t="s">
        <v>12</v>
      </c>
      <c r="N29" s="3">
        <f t="shared" si="10"/>
        <v>1.4048475137827026</v>
      </c>
      <c r="S29" t="s">
        <v>12</v>
      </c>
      <c r="T29" s="3">
        <f t="shared" si="11"/>
        <v>1.6769076214706724</v>
      </c>
      <c r="Y29" t="s">
        <v>5</v>
      </c>
      <c r="Z29" s="3">
        <f t="shared" si="12"/>
        <v>1.5637492557724095</v>
      </c>
      <c r="AE29" t="s">
        <v>5</v>
      </c>
      <c r="AF29" s="3">
        <f t="shared" si="13"/>
        <v>1.8035907805948612</v>
      </c>
      <c r="AK29" t="s">
        <v>5</v>
      </c>
      <c r="AL29" s="3">
        <f t="shared" si="14"/>
        <v>1.1325697817649152</v>
      </c>
      <c r="AQ29" t="s">
        <v>14</v>
      </c>
      <c r="AR29" s="3">
        <f t="shared" si="15"/>
        <v>0.70280996185497635</v>
      </c>
    </row>
    <row r="30" spans="1:47" x14ac:dyDescent="0.2">
      <c r="A30" t="s">
        <v>13</v>
      </c>
      <c r="B30" s="3">
        <f t="shared" si="8"/>
        <v>0.6871363159468693</v>
      </c>
      <c r="M30" t="s">
        <v>16</v>
      </c>
      <c r="N30" s="3">
        <f t="shared" si="10"/>
        <v>1.3974723562855058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AFD7-042E-094A-96D1-0C667B53EB1E}">
  <dimension ref="A1:AN41"/>
  <sheetViews>
    <sheetView workbookViewId="0">
      <selection activeCell="AK36" sqref="AK36"/>
    </sheetView>
  </sheetViews>
  <sheetFormatPr baseColWidth="10" defaultRowHeight="16" x14ac:dyDescent="0.2"/>
  <cols>
    <col min="4" max="4" width="15.5" bestFit="1" customWidth="1"/>
    <col min="5" max="5" width="32.33203125" bestFit="1" customWidth="1"/>
    <col min="13" max="13" width="15.5" bestFit="1" customWidth="1"/>
    <col min="14" max="14" width="52.83203125" bestFit="1" customWidth="1"/>
    <col min="23" max="23" width="14.33203125" bestFit="1" customWidth="1"/>
    <col min="24" max="24" width="25" bestFit="1" customWidth="1"/>
    <col min="26" max="26" width="14.33203125" bestFit="1" customWidth="1"/>
    <col min="27" max="27" width="24.5" bestFit="1" customWidth="1"/>
  </cols>
  <sheetData>
    <row r="1" spans="1:40" x14ac:dyDescent="0.2">
      <c r="A1" t="s">
        <v>64</v>
      </c>
      <c r="D1" t="s">
        <v>65</v>
      </c>
      <c r="M1" t="s">
        <v>66</v>
      </c>
      <c r="W1" t="s">
        <v>67</v>
      </c>
      <c r="Z1" t="s">
        <v>68</v>
      </c>
      <c r="AF1" t="s">
        <v>69</v>
      </c>
    </row>
    <row r="2" spans="1:40" x14ac:dyDescent="0.2">
      <c r="A2" t="s">
        <v>70</v>
      </c>
      <c r="B2" t="s">
        <v>116</v>
      </c>
      <c r="D2" t="s">
        <v>70</v>
      </c>
      <c r="E2" t="s">
        <v>71</v>
      </c>
      <c r="M2" t="s">
        <v>70</v>
      </c>
      <c r="N2" t="s">
        <v>90</v>
      </c>
      <c r="W2" t="s">
        <v>70</v>
      </c>
      <c r="X2" t="s">
        <v>96</v>
      </c>
      <c r="Z2" t="s">
        <v>70</v>
      </c>
      <c r="AA2" t="s">
        <v>103</v>
      </c>
      <c r="AF2" t="s">
        <v>70</v>
      </c>
      <c r="AG2" t="s">
        <v>117</v>
      </c>
    </row>
    <row r="3" spans="1:40" x14ac:dyDescent="0.2">
      <c r="A3" t="s">
        <v>73</v>
      </c>
      <c r="B3">
        <v>8</v>
      </c>
    </row>
    <row r="4" spans="1:40" x14ac:dyDescent="0.2">
      <c r="A4" t="s">
        <v>74</v>
      </c>
      <c r="B4">
        <v>28</v>
      </c>
      <c r="D4" t="s">
        <v>72</v>
      </c>
      <c r="M4" t="s">
        <v>72</v>
      </c>
      <c r="W4" t="s">
        <v>72</v>
      </c>
      <c r="Z4" t="s">
        <v>104</v>
      </c>
      <c r="AF4" t="s">
        <v>104</v>
      </c>
    </row>
    <row r="5" spans="1:40" x14ac:dyDescent="0.2">
      <c r="A5" t="s">
        <v>78</v>
      </c>
      <c r="B5">
        <v>104.49000000000001</v>
      </c>
      <c r="D5" t="s">
        <v>73</v>
      </c>
      <c r="E5">
        <v>8</v>
      </c>
      <c r="M5" t="s">
        <v>73</v>
      </c>
      <c r="N5">
        <v>8</v>
      </c>
      <c r="W5" t="s">
        <v>73</v>
      </c>
      <c r="X5">
        <v>8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F5" t="s">
        <v>105</v>
      </c>
      <c r="AG5" t="s">
        <v>118</v>
      </c>
      <c r="AH5" t="s">
        <v>106</v>
      </c>
      <c r="AI5" t="s">
        <v>107</v>
      </c>
      <c r="AJ5" t="s">
        <v>119</v>
      </c>
      <c r="AK5" t="s">
        <v>108</v>
      </c>
      <c r="AL5" t="s">
        <v>120</v>
      </c>
      <c r="AM5" t="s">
        <v>121</v>
      </c>
      <c r="AN5" t="s">
        <v>122</v>
      </c>
    </row>
    <row r="6" spans="1:40" x14ac:dyDescent="0.2">
      <c r="A6" t="s">
        <v>75</v>
      </c>
      <c r="B6">
        <v>140</v>
      </c>
      <c r="D6" t="s">
        <v>74</v>
      </c>
      <c r="E6">
        <v>28</v>
      </c>
      <c r="M6" t="s">
        <v>74</v>
      </c>
      <c r="N6">
        <v>28</v>
      </c>
      <c r="W6" t="s">
        <v>97</v>
      </c>
      <c r="X6">
        <v>10.604602902745251</v>
      </c>
      <c r="Z6">
        <v>1</v>
      </c>
      <c r="AA6">
        <v>9.32</v>
      </c>
      <c r="AB6">
        <v>2.9</v>
      </c>
      <c r="AC6">
        <v>86.862400000000008</v>
      </c>
      <c r="AD6">
        <v>27.027999999999999</v>
      </c>
      <c r="AF6">
        <v>2</v>
      </c>
      <c r="AG6">
        <v>9.32</v>
      </c>
      <c r="AH6">
        <v>2.9</v>
      </c>
      <c r="AI6">
        <v>-43.36</v>
      </c>
      <c r="AJ6">
        <v>86.862400000000008</v>
      </c>
      <c r="AK6">
        <v>8.41</v>
      </c>
      <c r="AL6">
        <v>27.027999999999999</v>
      </c>
      <c r="AM6">
        <v>-404.11520000000002</v>
      </c>
      <c r="AN6">
        <v>-125.744</v>
      </c>
    </row>
    <row r="7" spans="1:40" x14ac:dyDescent="0.2">
      <c r="A7" t="s">
        <v>79</v>
      </c>
      <c r="B7">
        <v>757.66000000000008</v>
      </c>
      <c r="D7" t="s">
        <v>75</v>
      </c>
      <c r="E7">
        <v>140</v>
      </c>
      <c r="M7" t="s">
        <v>75</v>
      </c>
      <c r="N7">
        <v>140</v>
      </c>
      <c r="W7" t="s">
        <v>98</v>
      </c>
      <c r="X7">
        <v>17.520549853412508</v>
      </c>
      <c r="Z7">
        <v>2</v>
      </c>
      <c r="AA7">
        <v>2.9</v>
      </c>
      <c r="AB7">
        <v>-43.36</v>
      </c>
      <c r="AC7">
        <v>8.41</v>
      </c>
      <c r="AD7">
        <v>-125.744</v>
      </c>
      <c r="AF7">
        <v>3</v>
      </c>
      <c r="AG7">
        <v>2.9</v>
      </c>
      <c r="AH7">
        <v>-43.36</v>
      </c>
      <c r="AI7">
        <v>-12.4</v>
      </c>
      <c r="AJ7">
        <v>8.41</v>
      </c>
      <c r="AK7">
        <v>1880.0896</v>
      </c>
      <c r="AL7">
        <v>-125.744</v>
      </c>
      <c r="AM7">
        <v>-35.96</v>
      </c>
      <c r="AN7">
        <v>537.66399999999999</v>
      </c>
    </row>
    <row r="8" spans="1:40" x14ac:dyDescent="0.2">
      <c r="D8" t="s">
        <v>76</v>
      </c>
      <c r="E8">
        <v>784</v>
      </c>
      <c r="M8" t="s">
        <v>76</v>
      </c>
      <c r="N8">
        <v>784</v>
      </c>
      <c r="W8" t="s">
        <v>78</v>
      </c>
      <c r="X8">
        <v>104.49000000000001</v>
      </c>
      <c r="Z8">
        <v>3</v>
      </c>
      <c r="AA8">
        <v>-43.36</v>
      </c>
      <c r="AB8">
        <v>-12.4</v>
      </c>
      <c r="AC8">
        <v>1880.0896</v>
      </c>
      <c r="AD8">
        <v>537.66399999999999</v>
      </c>
      <c r="AF8">
        <v>4</v>
      </c>
      <c r="AG8">
        <v>-43.36</v>
      </c>
      <c r="AH8">
        <v>-12.4</v>
      </c>
      <c r="AI8">
        <v>39.03</v>
      </c>
      <c r="AJ8">
        <v>1880.0896</v>
      </c>
      <c r="AK8">
        <v>153.76000000000002</v>
      </c>
      <c r="AL8">
        <v>537.66399999999999</v>
      </c>
      <c r="AM8">
        <v>-1692.3407999999999</v>
      </c>
      <c r="AN8">
        <v>-483.97200000000004</v>
      </c>
    </row>
    <row r="9" spans="1:40" x14ac:dyDescent="0.2">
      <c r="D9" t="s">
        <v>77</v>
      </c>
      <c r="E9">
        <v>4676</v>
      </c>
      <c r="M9" t="s">
        <v>77</v>
      </c>
      <c r="N9">
        <v>4676</v>
      </c>
      <c r="W9" t="s">
        <v>99</v>
      </c>
      <c r="X9">
        <v>221.26550155717408</v>
      </c>
      <c r="Z9">
        <v>4</v>
      </c>
      <c r="AA9">
        <v>-12.4</v>
      </c>
      <c r="AB9">
        <v>39.03</v>
      </c>
      <c r="AC9">
        <v>153.76000000000002</v>
      </c>
      <c r="AD9">
        <v>-483.97200000000004</v>
      </c>
      <c r="AF9">
        <v>5</v>
      </c>
      <c r="AG9">
        <v>-12.4</v>
      </c>
      <c r="AH9">
        <v>39.03</v>
      </c>
      <c r="AI9">
        <v>-0.28000000000000003</v>
      </c>
      <c r="AJ9">
        <v>153.76000000000002</v>
      </c>
      <c r="AK9">
        <v>1523.3409000000001</v>
      </c>
      <c r="AL9">
        <v>-483.97200000000004</v>
      </c>
      <c r="AM9">
        <v>3.4720000000000004</v>
      </c>
      <c r="AN9">
        <v>-10.928400000000002</v>
      </c>
    </row>
    <row r="10" spans="1:40" x14ac:dyDescent="0.2">
      <c r="D10" t="s">
        <v>78</v>
      </c>
      <c r="E10">
        <v>104.49000000000001</v>
      </c>
      <c r="M10" t="s">
        <v>91</v>
      </c>
      <c r="N10">
        <v>29008</v>
      </c>
      <c r="W10" t="s">
        <v>100</v>
      </c>
      <c r="X10">
        <v>23.894825396015491</v>
      </c>
      <c r="Z10">
        <v>5</v>
      </c>
      <c r="AA10">
        <v>39.03</v>
      </c>
      <c r="AB10">
        <v>-0.28000000000000003</v>
      </c>
      <c r="AC10">
        <v>1523.3409000000001</v>
      </c>
      <c r="AD10">
        <v>-10.928400000000002</v>
      </c>
      <c r="AF10">
        <v>6</v>
      </c>
      <c r="AG10">
        <v>39.03</v>
      </c>
      <c r="AH10">
        <v>-0.28000000000000003</v>
      </c>
      <c r="AI10">
        <v>41</v>
      </c>
      <c r="AJ10">
        <v>1523.3409000000001</v>
      </c>
      <c r="AK10">
        <v>7.8400000000000011E-2</v>
      </c>
      <c r="AL10">
        <v>-10.928400000000002</v>
      </c>
      <c r="AM10">
        <v>1600.23</v>
      </c>
      <c r="AN10">
        <v>-11.48</v>
      </c>
    </row>
    <row r="11" spans="1:40" x14ac:dyDescent="0.2">
      <c r="D11" t="s">
        <v>79</v>
      </c>
      <c r="E11">
        <v>757.66000000000008</v>
      </c>
      <c r="M11" t="s">
        <v>92</v>
      </c>
      <c r="N11">
        <v>184820</v>
      </c>
      <c r="W11" t="s">
        <v>101</v>
      </c>
      <c r="X11">
        <v>-18.613141844397102</v>
      </c>
      <c r="Z11">
        <v>6</v>
      </c>
      <c r="AA11">
        <v>-0.28000000000000003</v>
      </c>
      <c r="AB11">
        <v>41</v>
      </c>
      <c r="AC11">
        <v>7.8400000000000011E-2</v>
      </c>
      <c r="AD11">
        <v>-11.48</v>
      </c>
      <c r="AF11">
        <v>7</v>
      </c>
      <c r="AG11">
        <v>-0.28000000000000003</v>
      </c>
      <c r="AH11">
        <v>41</v>
      </c>
      <c r="AI11">
        <v>68.28</v>
      </c>
      <c r="AJ11">
        <v>7.8400000000000011E-2</v>
      </c>
      <c r="AK11">
        <v>1681</v>
      </c>
      <c r="AL11">
        <v>-11.48</v>
      </c>
      <c r="AM11">
        <v>-19.118400000000001</v>
      </c>
      <c r="AN11">
        <v>2799.48</v>
      </c>
    </row>
    <row r="12" spans="1:40" x14ac:dyDescent="0.2">
      <c r="D12" t="s">
        <v>80</v>
      </c>
      <c r="E12">
        <v>5157.0600000000004</v>
      </c>
      <c r="M12" t="s">
        <v>78</v>
      </c>
      <c r="N12">
        <v>104.49000000000001</v>
      </c>
      <c r="Z12">
        <v>7</v>
      </c>
      <c r="AA12">
        <v>41</v>
      </c>
      <c r="AB12">
        <v>68.28</v>
      </c>
      <c r="AC12">
        <v>1681</v>
      </c>
      <c r="AD12">
        <v>2799.48</v>
      </c>
    </row>
    <row r="13" spans="1:40" x14ac:dyDescent="0.2">
      <c r="M13" t="s">
        <v>79</v>
      </c>
      <c r="N13">
        <v>757.66000000000008</v>
      </c>
      <c r="W13" t="s">
        <v>87</v>
      </c>
      <c r="X13" t="s">
        <v>102</v>
      </c>
      <c r="AF13" t="s">
        <v>72</v>
      </c>
    </row>
    <row r="14" spans="1:40" x14ac:dyDescent="0.2">
      <c r="D14" t="s">
        <v>81</v>
      </c>
      <c r="M14" t="s">
        <v>80</v>
      </c>
      <c r="N14">
        <v>5157.0600000000004</v>
      </c>
      <c r="Z14" t="s">
        <v>72</v>
      </c>
      <c r="AF14" t="s">
        <v>73</v>
      </c>
      <c r="AG14">
        <v>6</v>
      </c>
    </row>
    <row r="15" spans="1:40" x14ac:dyDescent="0.2">
      <c r="E15">
        <v>4676</v>
      </c>
      <c r="F15">
        <v>784</v>
      </c>
      <c r="G15">
        <v>140</v>
      </c>
      <c r="I15">
        <v>5157.0600000000004</v>
      </c>
      <c r="M15" t="s">
        <v>93</v>
      </c>
      <c r="N15">
        <v>34060.18</v>
      </c>
      <c r="W15" t="s">
        <v>88</v>
      </c>
      <c r="Z15" t="s">
        <v>73</v>
      </c>
      <c r="AA15">
        <v>7</v>
      </c>
      <c r="AF15" t="s">
        <v>123</v>
      </c>
      <c r="AG15">
        <v>-4.7899999999999983</v>
      </c>
    </row>
    <row r="16" spans="1:40" x14ac:dyDescent="0.2">
      <c r="E16">
        <v>784</v>
      </c>
      <c r="F16">
        <v>140</v>
      </c>
      <c r="G16">
        <v>28</v>
      </c>
      <c r="I16">
        <v>757.66000000000008</v>
      </c>
      <c r="W16" t="s">
        <v>35</v>
      </c>
      <c r="X16" t="s">
        <v>89</v>
      </c>
      <c r="Z16" t="s">
        <v>110</v>
      </c>
      <c r="AA16">
        <v>36.21</v>
      </c>
      <c r="AF16" t="s">
        <v>110</v>
      </c>
      <c r="AG16">
        <v>26.89</v>
      </c>
    </row>
    <row r="17" spans="4:39" x14ac:dyDescent="0.2">
      <c r="E17">
        <v>140</v>
      </c>
      <c r="F17">
        <v>28</v>
      </c>
      <c r="G17">
        <v>8</v>
      </c>
      <c r="I17">
        <v>104.49000000000001</v>
      </c>
      <c r="M17" t="s">
        <v>81</v>
      </c>
      <c r="W17">
        <v>8</v>
      </c>
      <c r="X17">
        <v>33.889155786885794</v>
      </c>
      <c r="Z17" t="s">
        <v>111</v>
      </c>
      <c r="AA17">
        <v>95.17</v>
      </c>
      <c r="AF17" t="s">
        <v>111</v>
      </c>
      <c r="AG17">
        <v>92.27000000000001</v>
      </c>
    </row>
    <row r="18" spans="4:39" x14ac:dyDescent="0.2">
      <c r="N18">
        <v>184820</v>
      </c>
      <c r="O18">
        <v>29008</v>
      </c>
      <c r="P18">
        <v>4676</v>
      </c>
      <c r="Q18">
        <v>784</v>
      </c>
      <c r="S18">
        <v>34060.18</v>
      </c>
      <c r="W18">
        <v>9</v>
      </c>
      <c r="X18">
        <v>36.40672691216372</v>
      </c>
      <c r="Z18" t="s">
        <v>112</v>
      </c>
      <c r="AA18">
        <v>5333.5413000000008</v>
      </c>
      <c r="AF18" t="s">
        <v>124</v>
      </c>
      <c r="AG18">
        <v>3652.5413000000003</v>
      </c>
    </row>
    <row r="19" spans="4:39" x14ac:dyDescent="0.2">
      <c r="G19" t="s">
        <v>82</v>
      </c>
      <c r="I19" t="s">
        <v>83</v>
      </c>
      <c r="N19">
        <v>29008</v>
      </c>
      <c r="O19">
        <v>4676</v>
      </c>
      <c r="P19">
        <v>784</v>
      </c>
      <c r="Q19">
        <v>140</v>
      </c>
      <c r="S19">
        <v>5157.0600000000004</v>
      </c>
      <c r="W19">
        <v>10</v>
      </c>
      <c r="X19">
        <v>38.684147017050904</v>
      </c>
      <c r="Z19" t="s">
        <v>113</v>
      </c>
      <c r="AA19">
        <v>2732.0475999999999</v>
      </c>
      <c r="AF19" t="s">
        <v>112</v>
      </c>
      <c r="AG19">
        <v>5246.6789000000008</v>
      </c>
    </row>
    <row r="20" spans="4:39" x14ac:dyDescent="0.2">
      <c r="G20" t="s">
        <v>84</v>
      </c>
      <c r="I20">
        <v>3.4813999999999998</v>
      </c>
      <c r="N20">
        <v>4676</v>
      </c>
      <c r="O20">
        <v>784</v>
      </c>
      <c r="P20">
        <v>140</v>
      </c>
      <c r="Q20">
        <v>28</v>
      </c>
      <c r="S20">
        <v>757.66000000000008</v>
      </c>
      <c r="Z20" t="s">
        <v>114</v>
      </c>
      <c r="AA20">
        <v>0.43522070585622624</v>
      </c>
      <c r="AF20" t="s">
        <v>125</v>
      </c>
      <c r="AG20">
        <v>-67.432400000000058</v>
      </c>
    </row>
    <row r="21" spans="4:39" x14ac:dyDescent="0.2">
      <c r="G21" t="s">
        <v>85</v>
      </c>
      <c r="I21">
        <v>-15.037599999999999</v>
      </c>
      <c r="N21">
        <v>784</v>
      </c>
      <c r="O21">
        <v>140</v>
      </c>
      <c r="P21">
        <v>28</v>
      </c>
      <c r="Q21">
        <v>8</v>
      </c>
      <c r="S21">
        <v>104.49000000000001</v>
      </c>
      <c r="Z21" t="s">
        <v>115</v>
      </c>
      <c r="AA21">
        <v>11.344379748706578</v>
      </c>
      <c r="AF21" t="s">
        <v>126</v>
      </c>
      <c r="AG21">
        <v>-547.83239999999989</v>
      </c>
    </row>
    <row r="22" spans="4:39" x14ac:dyDescent="0.2">
      <c r="G22" t="s">
        <v>86</v>
      </c>
      <c r="I22">
        <v>4.7686999999999999</v>
      </c>
      <c r="Z22" t="s">
        <v>87</v>
      </c>
      <c r="AA22" t="s">
        <v>131</v>
      </c>
      <c r="AF22" t="s">
        <v>113</v>
      </c>
      <c r="AG22">
        <v>2705.0196000000001</v>
      </c>
    </row>
    <row r="23" spans="4:39" x14ac:dyDescent="0.2">
      <c r="P23" t="s">
        <v>82</v>
      </c>
    </row>
    <row r="24" spans="4:39" x14ac:dyDescent="0.2">
      <c r="D24" t="s">
        <v>87</v>
      </c>
      <c r="E24" t="s">
        <v>130</v>
      </c>
      <c r="P24" t="s">
        <v>94</v>
      </c>
      <c r="R24" t="s">
        <v>83</v>
      </c>
      <c r="Z24" t="s">
        <v>88</v>
      </c>
      <c r="AF24" t="s">
        <v>81</v>
      </c>
    </row>
    <row r="25" spans="4:39" x14ac:dyDescent="0.2">
      <c r="P25" t="s">
        <v>84</v>
      </c>
      <c r="R25">
        <v>-0.59</v>
      </c>
      <c r="Z25" t="s">
        <v>35</v>
      </c>
      <c r="AA25" t="s">
        <v>89</v>
      </c>
      <c r="AI25">
        <v>6</v>
      </c>
      <c r="AJ25">
        <v>26.89</v>
      </c>
      <c r="AK25">
        <v>-4.7899999999999983</v>
      </c>
      <c r="AM25">
        <v>92.27000000000001</v>
      </c>
    </row>
    <row r="26" spans="4:39" x14ac:dyDescent="0.2">
      <c r="D26" t="s">
        <v>88</v>
      </c>
      <c r="P26" t="s">
        <v>85</v>
      </c>
      <c r="R26">
        <v>9.6760999999999999</v>
      </c>
      <c r="Z26">
        <v>8</v>
      </c>
      <c r="AA26">
        <v>41.061249544569705</v>
      </c>
      <c r="AI26">
        <v>26.89</v>
      </c>
      <c r="AJ26">
        <v>5246.6789000000008</v>
      </c>
      <c r="AK26">
        <v>-67.432400000000058</v>
      </c>
      <c r="AM26">
        <v>2705.0196000000001</v>
      </c>
    </row>
    <row r="27" spans="4:39" x14ac:dyDescent="0.2">
      <c r="D27" t="s">
        <v>35</v>
      </c>
      <c r="E27" t="s">
        <v>89</v>
      </c>
      <c r="P27" t="s">
        <v>86</v>
      </c>
      <c r="R27">
        <v>-31.261900000000001</v>
      </c>
      <c r="Z27">
        <v>9</v>
      </c>
      <c r="AA27">
        <v>29.215085758832856</v>
      </c>
      <c r="AI27">
        <v>-4.7899999999999983</v>
      </c>
      <c r="AJ27">
        <v>-67.432400000000058</v>
      </c>
      <c r="AK27">
        <v>3652.5413000000003</v>
      </c>
      <c r="AM27">
        <v>-547.83239999999989</v>
      </c>
    </row>
    <row r="28" spans="4:39" x14ac:dyDescent="0.2">
      <c r="D28">
        <v>8</v>
      </c>
      <c r="E28">
        <v>107.27589285714234</v>
      </c>
      <c r="P28" t="s">
        <v>95</v>
      </c>
      <c r="R28">
        <v>10.9635</v>
      </c>
      <c r="Z28">
        <v>10</v>
      </c>
      <c r="AA28">
        <v>24.059389994315996</v>
      </c>
    </row>
    <row r="29" spans="4:39" x14ac:dyDescent="0.2">
      <c r="D29">
        <v>9</v>
      </c>
      <c r="E29">
        <v>151.42160714285643</v>
      </c>
      <c r="AI29" t="s">
        <v>82</v>
      </c>
    </row>
    <row r="30" spans="4:39" x14ac:dyDescent="0.2">
      <c r="D30">
        <v>10</v>
      </c>
      <c r="E30">
        <v>202.5300595238086</v>
      </c>
      <c r="M30" t="s">
        <v>87</v>
      </c>
      <c r="N30" t="s">
        <v>129</v>
      </c>
      <c r="AI30" t="s">
        <v>94</v>
      </c>
      <c r="AK30" t="s">
        <v>83</v>
      </c>
    </row>
    <row r="31" spans="4:39" x14ac:dyDescent="0.2">
      <c r="AI31" t="s">
        <v>86</v>
      </c>
      <c r="AK31">
        <v>13.2807</v>
      </c>
    </row>
    <row r="32" spans="4:39" x14ac:dyDescent="0.2">
      <c r="M32" t="s">
        <v>88</v>
      </c>
      <c r="AI32" t="s">
        <v>127</v>
      </c>
      <c r="AK32">
        <v>0.44590000000000002</v>
      </c>
    </row>
    <row r="33" spans="13:37" x14ac:dyDescent="0.2">
      <c r="M33" t="s">
        <v>35</v>
      </c>
      <c r="N33" t="s">
        <v>89</v>
      </c>
      <c r="AI33" t="s">
        <v>128</v>
      </c>
      <c r="AK33">
        <v>-0.12429999999999999</v>
      </c>
    </row>
    <row r="34" spans="13:37" x14ac:dyDescent="0.2">
      <c r="M34">
        <v>8</v>
      </c>
      <c r="N34">
        <v>78.072142857139397</v>
      </c>
    </row>
    <row r="35" spans="13:37" x14ac:dyDescent="0.2">
      <c r="M35">
        <v>9</v>
      </c>
      <c r="N35">
        <v>83.279523809516434</v>
      </c>
      <c r="AF35" t="s">
        <v>87</v>
      </c>
      <c r="AG35" t="s">
        <v>132</v>
      </c>
    </row>
    <row r="36" spans="13:37" x14ac:dyDescent="0.2">
      <c r="M36">
        <v>10</v>
      </c>
      <c r="N36">
        <v>75.98047619046315</v>
      </c>
    </row>
    <row r="37" spans="13:37" x14ac:dyDescent="0.2">
      <c r="AF37" t="s">
        <v>88</v>
      </c>
    </row>
    <row r="38" spans="13:37" x14ac:dyDescent="0.2">
      <c r="AF38" t="s">
        <v>35</v>
      </c>
      <c r="AG38" t="s">
        <v>89</v>
      </c>
    </row>
    <row r="39" spans="13:37" x14ac:dyDescent="0.2">
      <c r="AF39">
        <v>8</v>
      </c>
      <c r="AG39">
        <v>38.62917893213374</v>
      </c>
    </row>
    <row r="40" spans="13:37" x14ac:dyDescent="0.2">
      <c r="AF40">
        <v>9</v>
      </c>
      <c r="AG40">
        <v>22.015804018086328</v>
      </c>
    </row>
    <row r="41" spans="13:37" x14ac:dyDescent="0.2">
      <c r="AF41">
        <v>10</v>
      </c>
      <c r="AG41">
        <v>18.294547794443329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B086-A6BA-034A-BDA0-1F685296FEFC}">
  <dimension ref="A1:N14"/>
  <sheetViews>
    <sheetView workbookViewId="0">
      <selection activeCell="L27" sqref="L27"/>
    </sheetView>
  </sheetViews>
  <sheetFormatPr baseColWidth="10" defaultRowHeight="16" x14ac:dyDescent="0.2"/>
  <cols>
    <col min="1" max="1" width="13.5" bestFit="1" customWidth="1"/>
    <col min="4" max="4" width="13.5" bestFit="1" customWidth="1"/>
    <col min="7" max="7" width="13.5" bestFit="1" customWidth="1"/>
    <col min="10" max="10" width="13.5" bestFit="1" customWidth="1"/>
    <col min="11" max="11" width="17.33203125" bestFit="1" customWidth="1"/>
    <col min="13" max="13" width="13.5" bestFit="1" customWidth="1"/>
  </cols>
  <sheetData>
    <row r="1" spans="1:14" x14ac:dyDescent="0.2">
      <c r="A1" t="s">
        <v>49</v>
      </c>
      <c r="D1" t="s">
        <v>52</v>
      </c>
      <c r="G1" t="s">
        <v>50</v>
      </c>
      <c r="J1" t="s">
        <v>53</v>
      </c>
      <c r="M1" t="s">
        <v>54</v>
      </c>
    </row>
    <row r="2" spans="1:14" x14ac:dyDescent="0.2">
      <c r="A2" t="s">
        <v>35</v>
      </c>
      <c r="B2" t="s">
        <v>55</v>
      </c>
      <c r="D2" t="s">
        <v>35</v>
      </c>
      <c r="E2" t="s">
        <v>55</v>
      </c>
      <c r="G2" t="s">
        <v>35</v>
      </c>
      <c r="H2" t="s">
        <v>55</v>
      </c>
      <c r="J2" t="s">
        <v>35</v>
      </c>
      <c r="K2" t="s">
        <v>55</v>
      </c>
      <c r="M2" t="s">
        <v>35</v>
      </c>
      <c r="N2" t="s">
        <v>55</v>
      </c>
    </row>
    <row r="3" spans="1:14" x14ac:dyDescent="0.2">
      <c r="A3">
        <v>2014</v>
      </c>
      <c r="B3">
        <f>384-(19.72*19)</f>
        <v>9.32000000000005</v>
      </c>
      <c r="D3">
        <v>2014</v>
      </c>
      <c r="E3">
        <f>167-(9.54*19)</f>
        <v>-14.259999999999991</v>
      </c>
      <c r="G3">
        <v>2014</v>
      </c>
      <c r="H3">
        <f>59-(3.54*19)</f>
        <v>-8.2600000000000051</v>
      </c>
      <c r="J3">
        <v>2014</v>
      </c>
      <c r="K3">
        <f>161-(4.83*19)</f>
        <v>69.23</v>
      </c>
      <c r="M3">
        <v>2014</v>
      </c>
      <c r="N3">
        <f>238-(9.54*19)</f>
        <v>56.740000000000009</v>
      </c>
    </row>
    <row r="4" spans="1:14" x14ac:dyDescent="0.2">
      <c r="A4">
        <v>2015</v>
      </c>
      <c r="B4">
        <f>381-(19.9*19)</f>
        <v>2.9000000000000341</v>
      </c>
      <c r="D4">
        <v>2015</v>
      </c>
      <c r="E4">
        <f>278-(8.87*19)</f>
        <v>109.47000000000003</v>
      </c>
      <c r="G4">
        <v>2015</v>
      </c>
      <c r="H4">
        <f>78-(3.09*19)</f>
        <v>19.290000000000006</v>
      </c>
      <c r="J4">
        <v>2015</v>
      </c>
      <c r="K4">
        <f>11-(1.81*19)</f>
        <v>-23.39</v>
      </c>
      <c r="M4">
        <v>2015</v>
      </c>
      <c r="N4">
        <f>92-(3.82*19)</f>
        <v>19.420000000000002</v>
      </c>
    </row>
    <row r="5" spans="1:14" x14ac:dyDescent="0.2">
      <c r="A5">
        <v>2016</v>
      </c>
      <c r="B5">
        <f>380-(20.16*21)</f>
        <v>-43.360000000000014</v>
      </c>
      <c r="D5">
        <v>2016</v>
      </c>
      <c r="E5">
        <f>212-(6.64*21)</f>
        <v>72.56</v>
      </c>
      <c r="G5">
        <v>2016</v>
      </c>
      <c r="H5">
        <f>101-(3.01*21)</f>
        <v>37.790000000000006</v>
      </c>
      <c r="J5">
        <v>2016</v>
      </c>
      <c r="K5">
        <f>54-(2.01*21)</f>
        <v>11.790000000000006</v>
      </c>
      <c r="M5">
        <v>2016</v>
      </c>
      <c r="N5">
        <f>256-(8.3*21)</f>
        <v>81.699999999999989</v>
      </c>
    </row>
    <row r="6" spans="1:14" x14ac:dyDescent="0.2">
      <c r="A6">
        <v>2017</v>
      </c>
      <c r="B6">
        <f>363-(18.77*20)</f>
        <v>-12.399999999999977</v>
      </c>
      <c r="D6">
        <v>2017</v>
      </c>
      <c r="E6">
        <f>317-(10.84*20)</f>
        <v>100.19999999999999</v>
      </c>
      <c r="G6">
        <v>2017</v>
      </c>
      <c r="H6">
        <f>100-(3.16*20)</f>
        <v>36.799999999999997</v>
      </c>
      <c r="J6">
        <v>2017</v>
      </c>
      <c r="K6">
        <f>17-(1.83*20)</f>
        <v>-19.600000000000001</v>
      </c>
      <c r="M6">
        <v>2017</v>
      </c>
      <c r="N6">
        <f>200-(6.12*20)</f>
        <v>77.599999999999994</v>
      </c>
    </row>
    <row r="7" spans="1:14" x14ac:dyDescent="0.2">
      <c r="A7">
        <v>2018</v>
      </c>
      <c r="B7">
        <f>408-(17.57*21)</f>
        <v>39.029999999999973</v>
      </c>
      <c r="D7">
        <v>2018</v>
      </c>
      <c r="E7">
        <f>320-(12.25*21)</f>
        <v>62.75</v>
      </c>
      <c r="G7">
        <v>2018</v>
      </c>
      <c r="H7">
        <f>62-(1.77*21)</f>
        <v>24.83</v>
      </c>
      <c r="J7">
        <v>2018</v>
      </c>
      <c r="K7">
        <f>50-(1.82*21)</f>
        <v>11.780000000000001</v>
      </c>
      <c r="M7">
        <v>2018</v>
      </c>
      <c r="N7">
        <f>170-(6.5*21)</f>
        <v>33.5</v>
      </c>
    </row>
    <row r="8" spans="1:14" x14ac:dyDescent="0.2">
      <c r="A8">
        <v>2019</v>
      </c>
      <c r="B8">
        <f>413-(19.68*21)</f>
        <v>-0.27999999999997272</v>
      </c>
      <c r="D8">
        <v>2019</v>
      </c>
      <c r="E8">
        <f>240-(8.95*21)</f>
        <v>52.050000000000011</v>
      </c>
      <c r="G8">
        <v>2019</v>
      </c>
      <c r="H8">
        <f>52-(2.24*21)</f>
        <v>4.9599999999999937</v>
      </c>
      <c r="J8">
        <v>2019</v>
      </c>
      <c r="K8" t="s">
        <v>56</v>
      </c>
      <c r="M8">
        <v>2019</v>
      </c>
      <c r="N8">
        <f>54-(2.37*21)</f>
        <v>4.2299999999999969</v>
      </c>
    </row>
    <row r="9" spans="1:14" x14ac:dyDescent="0.2">
      <c r="A9">
        <v>2020</v>
      </c>
      <c r="B9">
        <f>347-(18*17)</f>
        <v>41</v>
      </c>
      <c r="D9">
        <v>2020</v>
      </c>
      <c r="E9">
        <f>33-(3.47*17)</f>
        <v>-25.990000000000002</v>
      </c>
      <c r="G9">
        <v>2020</v>
      </c>
      <c r="H9">
        <f>125-(4.86*17)</f>
        <v>42.379999999999995</v>
      </c>
      <c r="J9">
        <v>2020</v>
      </c>
      <c r="K9" t="s">
        <v>56</v>
      </c>
      <c r="M9">
        <v>2020</v>
      </c>
      <c r="N9">
        <f>119-(4.54*17)</f>
        <v>41.819999999999993</v>
      </c>
    </row>
    <row r="10" spans="1:14" x14ac:dyDescent="0.2">
      <c r="A10">
        <v>2021</v>
      </c>
      <c r="B10">
        <f>387.5-(14.51*22)</f>
        <v>68.28000000000003</v>
      </c>
      <c r="D10">
        <v>2021</v>
      </c>
      <c r="E10">
        <f>43-(1.81*22)</f>
        <v>3.1799999999999997</v>
      </c>
      <c r="G10">
        <v>2021</v>
      </c>
      <c r="H10">
        <f>190-(13.56*22)</f>
        <v>-108.32</v>
      </c>
      <c r="J10">
        <v>2021</v>
      </c>
      <c r="K10">
        <f>81-(3.08*22)</f>
        <v>13.239999999999995</v>
      </c>
      <c r="M10">
        <v>2021</v>
      </c>
      <c r="N10">
        <f>115-(5.35*22)</f>
        <v>-2.6999999999999886</v>
      </c>
    </row>
    <row r="12" spans="1:14" x14ac:dyDescent="0.2">
      <c r="A12" t="s">
        <v>61</v>
      </c>
      <c r="B12">
        <v>33.037100000000002</v>
      </c>
      <c r="D12" t="s">
        <v>61</v>
      </c>
      <c r="E12">
        <v>45.004300000000001</v>
      </c>
      <c r="G12" t="s">
        <v>61</v>
      </c>
      <c r="H12">
        <v>43.788400000000003</v>
      </c>
      <c r="J12" t="s">
        <v>61</v>
      </c>
      <c r="K12">
        <v>8.0143000000000004</v>
      </c>
      <c r="M12" t="s">
        <v>61</v>
      </c>
      <c r="N12">
        <v>30.745899999999999</v>
      </c>
    </row>
    <row r="14" spans="1:14" x14ac:dyDescent="0.2">
      <c r="A14" t="s">
        <v>62</v>
      </c>
      <c r="B14">
        <v>20.09</v>
      </c>
      <c r="D14" t="s">
        <v>62</v>
      </c>
      <c r="E14">
        <v>53.94</v>
      </c>
      <c r="G14" t="s">
        <v>62</v>
      </c>
      <c r="H14">
        <v>16.260000000000002</v>
      </c>
      <c r="J14" t="s">
        <v>62</v>
      </c>
      <c r="K14">
        <v>-0.78910000000000002</v>
      </c>
      <c r="M14" t="s">
        <v>62</v>
      </c>
      <c r="N14">
        <v>35.909999999999997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3747-FE21-1E46-908A-A195C2D695F3}">
  <dimension ref="A1:N22"/>
  <sheetViews>
    <sheetView tabSelected="1" workbookViewId="0">
      <selection activeCell="R32" sqref="R32"/>
    </sheetView>
  </sheetViews>
  <sheetFormatPr baseColWidth="10" defaultRowHeight="16" x14ac:dyDescent="0.2"/>
  <sheetData>
    <row r="1" spans="1:14" x14ac:dyDescent="0.2">
      <c r="A1" t="s">
        <v>58</v>
      </c>
      <c r="D1" t="s">
        <v>57</v>
      </c>
      <c r="G1" t="s">
        <v>59</v>
      </c>
      <c r="J1" t="s">
        <v>60</v>
      </c>
    </row>
    <row r="2" spans="1:14" x14ac:dyDescent="0.2">
      <c r="A2" t="s">
        <v>35</v>
      </c>
      <c r="B2" t="s">
        <v>55</v>
      </c>
      <c r="D2" t="s">
        <v>35</v>
      </c>
      <c r="E2" t="s">
        <v>55</v>
      </c>
      <c r="G2" t="s">
        <v>35</v>
      </c>
      <c r="H2" t="s">
        <v>55</v>
      </c>
      <c r="J2" t="s">
        <v>35</v>
      </c>
      <c r="K2" t="s">
        <v>55</v>
      </c>
    </row>
    <row r="3" spans="1:14" x14ac:dyDescent="0.2">
      <c r="A3">
        <v>2014</v>
      </c>
      <c r="B3">
        <v>0</v>
      </c>
      <c r="D3">
        <v>2014</v>
      </c>
      <c r="E3" s="8">
        <f>8-(0.85*19)</f>
        <v>-8.1499999999999986</v>
      </c>
      <c r="G3">
        <v>2014</v>
      </c>
      <c r="H3" s="6">
        <f>55-(4.83*19)</f>
        <v>-36.769999999999996</v>
      </c>
      <c r="J3">
        <v>2014</v>
      </c>
      <c r="K3" s="8">
        <f>0-(0.69*19)</f>
        <v>-13.11</v>
      </c>
    </row>
    <row r="4" spans="1:14" x14ac:dyDescent="0.2">
      <c r="A4">
        <v>2015</v>
      </c>
      <c r="B4" s="7">
        <f>18-(2.24*19)</f>
        <v>-24.560000000000002</v>
      </c>
      <c r="D4">
        <v>2015</v>
      </c>
      <c r="E4" s="7">
        <f>51-(2.36*19)</f>
        <v>6.1600000000000037</v>
      </c>
      <c r="G4">
        <v>2015</v>
      </c>
      <c r="H4" s="6">
        <f>150-(8.87*19)</f>
        <v>-18.529999999999973</v>
      </c>
      <c r="J4">
        <v>2015</v>
      </c>
      <c r="K4" s="8">
        <f>9-(1.9*19)</f>
        <v>-27.1</v>
      </c>
    </row>
    <row r="5" spans="1:14" x14ac:dyDescent="0.2">
      <c r="A5">
        <v>2016</v>
      </c>
      <c r="B5" s="7">
        <f>46-(1.89*21)</f>
        <v>6.3100000000000023</v>
      </c>
      <c r="D5">
        <v>2016</v>
      </c>
      <c r="E5" s="8">
        <f>29-(1.61*21)</f>
        <v>-4.8100000000000023</v>
      </c>
      <c r="G5">
        <v>2016</v>
      </c>
      <c r="H5" s="6">
        <f>186-(6.64*21)</f>
        <v>46.56</v>
      </c>
      <c r="J5">
        <v>2016</v>
      </c>
      <c r="K5" s="8">
        <f>0-(1.4*21)</f>
        <v>-29.4</v>
      </c>
    </row>
    <row r="6" spans="1:14" x14ac:dyDescent="0.2">
      <c r="A6">
        <v>2017</v>
      </c>
      <c r="B6" s="7">
        <f>54-(1.98*20)</f>
        <v>14.399999999999999</v>
      </c>
      <c r="D6">
        <v>2017</v>
      </c>
      <c r="E6" s="8">
        <f>28-(1.93*20)</f>
        <v>-10.600000000000001</v>
      </c>
      <c r="G6">
        <v>2017</v>
      </c>
      <c r="H6" s="6">
        <f>205-(10.84*20)</f>
        <v>-11.800000000000011</v>
      </c>
      <c r="J6">
        <v>2017</v>
      </c>
      <c r="K6" s="8">
        <f>0-(1.68*20)</f>
        <v>-33.6</v>
      </c>
    </row>
    <row r="7" spans="1:14" x14ac:dyDescent="0.2">
      <c r="A7">
        <v>2018</v>
      </c>
      <c r="B7" s="7">
        <f>53-(2.19*21)</f>
        <v>7.009999999999998</v>
      </c>
      <c r="D7">
        <v>2018</v>
      </c>
      <c r="E7" s="7">
        <f>37-(2*21)</f>
        <v>-5</v>
      </c>
      <c r="G7">
        <v>2018</v>
      </c>
      <c r="H7" s="6">
        <f>251-(12.25*21)</f>
        <v>-6.25</v>
      </c>
      <c r="J7">
        <v>2018</v>
      </c>
      <c r="K7" s="8">
        <f>9-(1.75*21)</f>
        <v>-27.75</v>
      </c>
    </row>
    <row r="8" spans="1:14" x14ac:dyDescent="0.2">
      <c r="A8">
        <v>2019</v>
      </c>
      <c r="B8" s="7">
        <f>96-(2.8*21)</f>
        <v>37.200000000000003</v>
      </c>
      <c r="D8">
        <v>2019</v>
      </c>
      <c r="E8" s="8">
        <f>8-(1.95*21)</f>
        <v>-32.949999999999996</v>
      </c>
      <c r="G8">
        <v>2019</v>
      </c>
      <c r="H8" s="8">
        <f>43-(2.13*21)</f>
        <v>-1.7299999999999969</v>
      </c>
      <c r="J8">
        <v>2019</v>
      </c>
      <c r="K8">
        <v>0</v>
      </c>
    </row>
    <row r="9" spans="1:14" x14ac:dyDescent="0.2">
      <c r="A9">
        <v>2020</v>
      </c>
      <c r="B9" s="6">
        <f>105-(5.02*17)</f>
        <v>19.660000000000011</v>
      </c>
      <c r="D9">
        <v>2020</v>
      </c>
      <c r="E9" s="8">
        <f>2-(1.18*17)</f>
        <v>-18.059999999999999</v>
      </c>
      <c r="G9">
        <v>2020</v>
      </c>
      <c r="H9" s="8">
        <f>4-(1.26*17)</f>
        <v>-17.420000000000002</v>
      </c>
      <c r="J9">
        <v>2020</v>
      </c>
      <c r="K9">
        <v>0</v>
      </c>
    </row>
    <row r="10" spans="1:14" x14ac:dyDescent="0.2">
      <c r="A10">
        <v>2021</v>
      </c>
      <c r="B10" s="6">
        <f>164.5-(5.35*22)</f>
        <v>46.800000000000011</v>
      </c>
      <c r="D10">
        <v>2021</v>
      </c>
      <c r="E10">
        <v>0</v>
      </c>
      <c r="G10">
        <v>2021</v>
      </c>
      <c r="H10" s="8">
        <f>10-(0.88*22)</f>
        <v>-9.36</v>
      </c>
      <c r="J10">
        <v>2021</v>
      </c>
      <c r="K10">
        <v>0</v>
      </c>
    </row>
    <row r="13" spans="1:14" x14ac:dyDescent="0.2">
      <c r="A13" t="s">
        <v>49</v>
      </c>
      <c r="D13" t="s">
        <v>52</v>
      </c>
      <c r="G13" t="s">
        <v>50</v>
      </c>
      <c r="J13" t="s">
        <v>53</v>
      </c>
      <c r="M13" t="s">
        <v>54</v>
      </c>
    </row>
    <row r="14" spans="1:14" x14ac:dyDescent="0.2">
      <c r="A14" t="s">
        <v>35</v>
      </c>
      <c r="B14" t="s">
        <v>55</v>
      </c>
      <c r="D14" t="s">
        <v>35</v>
      </c>
      <c r="E14" t="s">
        <v>55</v>
      </c>
      <c r="G14" t="s">
        <v>35</v>
      </c>
      <c r="H14" t="s">
        <v>55</v>
      </c>
      <c r="J14" t="s">
        <v>35</v>
      </c>
      <c r="K14" t="s">
        <v>55</v>
      </c>
      <c r="M14" t="s">
        <v>35</v>
      </c>
      <c r="N14" t="s">
        <v>55</v>
      </c>
    </row>
    <row r="15" spans="1:14" x14ac:dyDescent="0.2">
      <c r="A15">
        <v>2014</v>
      </c>
      <c r="B15" s="6">
        <f>384-(19.72*19)</f>
        <v>9.32000000000005</v>
      </c>
      <c r="D15">
        <v>2014</v>
      </c>
      <c r="E15" s="6">
        <f>167-(9.54*19)</f>
        <v>-14.259999999999991</v>
      </c>
      <c r="G15">
        <v>2014</v>
      </c>
      <c r="H15" s="7">
        <f>59-(3.54*19)</f>
        <v>-8.2600000000000051</v>
      </c>
      <c r="J15">
        <v>2014</v>
      </c>
      <c r="K15" s="6">
        <f>161-(4.83*19)</f>
        <v>69.23</v>
      </c>
      <c r="M15">
        <v>2014</v>
      </c>
      <c r="N15" s="6">
        <f>238-(9.54*19)</f>
        <v>56.740000000000009</v>
      </c>
    </row>
    <row r="16" spans="1:14" x14ac:dyDescent="0.2">
      <c r="A16">
        <v>2015</v>
      </c>
      <c r="B16" s="6">
        <f>381-(19.9*19)</f>
        <v>2.9000000000000341</v>
      </c>
      <c r="D16">
        <v>2015</v>
      </c>
      <c r="E16" s="6">
        <f>278-(8.87*19)</f>
        <v>109.47000000000003</v>
      </c>
      <c r="G16">
        <v>2015</v>
      </c>
      <c r="H16" s="7">
        <f>78-(3.09*19)</f>
        <v>19.290000000000006</v>
      </c>
      <c r="J16">
        <v>2015</v>
      </c>
      <c r="K16" s="8">
        <f>11-(1.81*19)</f>
        <v>-23.39</v>
      </c>
      <c r="M16">
        <v>2015</v>
      </c>
      <c r="N16" s="7">
        <f>92-(3.82*19)</f>
        <v>19.420000000000002</v>
      </c>
    </row>
    <row r="17" spans="1:14" x14ac:dyDescent="0.2">
      <c r="A17">
        <v>2016</v>
      </c>
      <c r="B17" s="6">
        <f>380-(20.16*21)</f>
        <v>-43.360000000000014</v>
      </c>
      <c r="D17">
        <v>2016</v>
      </c>
      <c r="E17" s="6">
        <f>212-(6.64*21)</f>
        <v>72.56</v>
      </c>
      <c r="G17">
        <v>2016</v>
      </c>
      <c r="H17" s="6">
        <f>101-(3.01*21)</f>
        <v>37.790000000000006</v>
      </c>
      <c r="J17">
        <v>2016</v>
      </c>
      <c r="K17" s="7">
        <f>54-(2.01*21)</f>
        <v>11.790000000000006</v>
      </c>
      <c r="M17">
        <v>2016</v>
      </c>
      <c r="N17" s="6">
        <f>256-(8.3*21)</f>
        <v>81.699999999999989</v>
      </c>
    </row>
    <row r="18" spans="1:14" x14ac:dyDescent="0.2">
      <c r="A18">
        <v>2017</v>
      </c>
      <c r="B18" s="6">
        <f>363-(18.77*20)</f>
        <v>-12.399999999999977</v>
      </c>
      <c r="D18">
        <v>2017</v>
      </c>
      <c r="E18" s="6">
        <f>317-(10.84*20)</f>
        <v>100.19999999999999</v>
      </c>
      <c r="G18">
        <v>2017</v>
      </c>
      <c r="H18" s="7">
        <f>100-(3.16*20)</f>
        <v>36.799999999999997</v>
      </c>
      <c r="J18">
        <v>2017</v>
      </c>
      <c r="K18" s="8">
        <f>17-(1.83*20)</f>
        <v>-19.600000000000001</v>
      </c>
      <c r="M18">
        <v>2017</v>
      </c>
      <c r="N18" s="6">
        <f>200-(6.12*20)</f>
        <v>77.599999999999994</v>
      </c>
    </row>
    <row r="19" spans="1:14" x14ac:dyDescent="0.2">
      <c r="A19">
        <v>2018</v>
      </c>
      <c r="B19" s="6">
        <f>408-(17.57*21)</f>
        <v>39.029999999999973</v>
      </c>
      <c r="D19">
        <v>2018</v>
      </c>
      <c r="E19" s="6">
        <f>320-(12.25*21)</f>
        <v>62.75</v>
      </c>
      <c r="G19">
        <v>2018</v>
      </c>
      <c r="H19" s="7">
        <f>62-(1.77*21)</f>
        <v>24.83</v>
      </c>
      <c r="J19">
        <v>2018</v>
      </c>
      <c r="K19" s="7">
        <f>50-(1.82*21)</f>
        <v>11.780000000000001</v>
      </c>
      <c r="M19">
        <v>2018</v>
      </c>
      <c r="N19" s="6">
        <f>170-(6.5*21)</f>
        <v>33.5</v>
      </c>
    </row>
    <row r="20" spans="1:14" x14ac:dyDescent="0.2">
      <c r="A20">
        <v>2019</v>
      </c>
      <c r="B20" s="6">
        <f>413-(19.68*21)</f>
        <v>-0.27999999999997272</v>
      </c>
      <c r="D20">
        <v>2019</v>
      </c>
      <c r="E20" s="6">
        <f>240-(8.95*21)</f>
        <v>52.050000000000011</v>
      </c>
      <c r="G20">
        <v>2019</v>
      </c>
      <c r="H20" s="7">
        <f>52-(2.24*21)</f>
        <v>4.9599999999999937</v>
      </c>
      <c r="J20">
        <v>2019</v>
      </c>
      <c r="K20" t="s">
        <v>56</v>
      </c>
      <c r="M20">
        <v>2019</v>
      </c>
      <c r="N20" s="7">
        <f>54-(2.37*21)</f>
        <v>4.2299999999999969</v>
      </c>
    </row>
    <row r="21" spans="1:14" x14ac:dyDescent="0.2">
      <c r="A21">
        <v>2020</v>
      </c>
      <c r="B21" s="6">
        <f>347-(18*17)</f>
        <v>41</v>
      </c>
      <c r="D21">
        <v>2020</v>
      </c>
      <c r="E21" s="7">
        <f>33-(3.47*17)</f>
        <v>-25.990000000000002</v>
      </c>
      <c r="G21">
        <v>2020</v>
      </c>
      <c r="H21" s="7">
        <f>125-(4.86*17)</f>
        <v>42.379999999999995</v>
      </c>
      <c r="J21">
        <v>2020</v>
      </c>
      <c r="K21" t="s">
        <v>56</v>
      </c>
      <c r="M21">
        <v>2020</v>
      </c>
      <c r="N21" s="7">
        <f>119-(4.54*17)</f>
        <v>41.819999999999993</v>
      </c>
    </row>
    <row r="22" spans="1:14" x14ac:dyDescent="0.2">
      <c r="A22">
        <v>2021</v>
      </c>
      <c r="B22" s="6">
        <f>387.5-(14.51*22)</f>
        <v>68.28000000000003</v>
      </c>
      <c r="D22">
        <v>2021</v>
      </c>
      <c r="E22" s="7">
        <f>43-(1.81*22)</f>
        <v>3.1799999999999997</v>
      </c>
      <c r="G22">
        <v>2021</v>
      </c>
      <c r="H22" s="6">
        <f>190-(13.56*22)</f>
        <v>-108.32</v>
      </c>
      <c r="J22">
        <v>2021</v>
      </c>
      <c r="K22" s="7">
        <f>81-(3.08*22)</f>
        <v>13.239999999999995</v>
      </c>
      <c r="M22">
        <v>2021</v>
      </c>
      <c r="N22" s="7">
        <f>115-(5.35*22)</f>
        <v>-2.6999999999999886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CC Calc</vt:lpstr>
      <vt:lpstr>Alpha, Beta and Expected Points</vt:lpstr>
      <vt:lpstr>Model Evaluation (LH Data)</vt:lpstr>
      <vt:lpstr>Driver Calc for AR(1) and RMSE</vt:lpstr>
      <vt:lpstr>Extra Driver Calc for Chi2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Gupta</dc:creator>
  <cp:lastModifiedBy>Aditya Gupta</cp:lastModifiedBy>
  <dcterms:created xsi:type="dcterms:W3CDTF">2026-03-02T15:46:34Z</dcterms:created>
  <dcterms:modified xsi:type="dcterms:W3CDTF">2026-03-31T17:35:30Z</dcterms:modified>
</cp:coreProperties>
</file>